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Users/emmahaupt/Documents/CSU Stuff/CIVE 442 Air Quality Engineering/"/>
    </mc:Choice>
  </mc:AlternateContent>
  <xr:revisionPtr revIDLastSave="0" documentId="13_ncr:1_{E0D43C6F-BC7F-8E47-80F5-F30DE320F86A}" xr6:coauthVersionLast="47" xr6:coauthVersionMax="47" xr10:uidLastSave="{00000000-0000-0000-0000-000000000000}"/>
  <bookViews>
    <workbookView xWindow="0" yWindow="600" windowWidth="25080" windowHeight="16380" tabRatio="500" xr2:uid="{00000000-000D-0000-FFFF-FFFF00000000}"/>
  </bookViews>
  <sheets>
    <sheet name="1_Inputs" sheetId="1" r:id="rId1"/>
    <sheet name="2_Model" sheetId="2" r:id="rId2"/>
    <sheet name="3_Results" sheetId="3" r:id="rId3"/>
    <sheet name="4_MCDA" sheetId="4" r:id="rId4"/>
    <sheet name="5_Documentation" sheetId="5" r:id="rId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0" i="4" l="1"/>
  <c r="C30" i="4"/>
  <c r="D29" i="4"/>
  <c r="C29" i="4"/>
  <c r="D28" i="4"/>
  <c r="C28" i="4"/>
  <c r="D27" i="4"/>
  <c r="D31" i="4" s="1"/>
  <c r="E15" i="3" s="1"/>
  <c r="C27" i="4"/>
  <c r="C31" i="4" s="1"/>
  <c r="D15" i="3" s="1"/>
  <c r="C38" i="2"/>
  <c r="E37" i="2"/>
  <c r="E11" i="3" s="1"/>
  <c r="D37" i="2"/>
  <c r="D11" i="3" s="1"/>
  <c r="C37" i="2"/>
  <c r="E36" i="2"/>
  <c r="D36" i="2"/>
  <c r="C36" i="2"/>
  <c r="C33" i="2"/>
  <c r="C32" i="2"/>
  <c r="E28" i="2"/>
  <c r="D28" i="2"/>
  <c r="C28" i="2"/>
  <c r="E27" i="2"/>
  <c r="D27" i="2"/>
  <c r="C27" i="2"/>
  <c r="E21" i="2"/>
  <c r="D21" i="2"/>
  <c r="C21" i="2"/>
  <c r="E20" i="2"/>
  <c r="D20" i="2"/>
  <c r="C20" i="2"/>
  <c r="E19" i="2"/>
  <c r="D19" i="2"/>
  <c r="C19" i="2"/>
  <c r="E15" i="2"/>
  <c r="D15" i="2"/>
  <c r="C15" i="2"/>
  <c r="E8" i="2"/>
  <c r="E9" i="2" s="1"/>
  <c r="D8" i="2"/>
  <c r="D9" i="2" s="1"/>
  <c r="C8" i="2"/>
  <c r="C9" i="2" s="1"/>
  <c r="E7" i="2"/>
  <c r="D7" i="2"/>
  <c r="C7" i="2"/>
  <c r="E6" i="2"/>
  <c r="D6" i="2"/>
  <c r="C6" i="2"/>
  <c r="E5" i="2"/>
  <c r="D5" i="2"/>
  <c r="C5" i="2"/>
  <c r="E4" i="2"/>
  <c r="D4" i="2"/>
  <c r="C4" i="2"/>
  <c r="C35" i="1"/>
  <c r="F27" i="3" l="1"/>
  <c r="E27" i="3"/>
  <c r="D27" i="3"/>
  <c r="C27" i="3"/>
  <c r="F26" i="3"/>
  <c r="E26" i="3"/>
  <c r="D26" i="3"/>
  <c r="C26" i="3"/>
  <c r="F25" i="3"/>
  <c r="E25" i="3"/>
  <c r="D25" i="3"/>
  <c r="C25" i="3"/>
  <c r="E38" i="2"/>
  <c r="E12" i="3" s="1"/>
  <c r="E10" i="3"/>
  <c r="D10" i="3"/>
  <c r="D38" i="2"/>
  <c r="D12" i="3" s="1"/>
  <c r="E22" i="2"/>
  <c r="E23" i="2"/>
  <c r="D22" i="2"/>
  <c r="D23" i="2"/>
  <c r="C22" i="2"/>
  <c r="C23" i="2"/>
  <c r="E10" i="2"/>
  <c r="E11" i="2"/>
  <c r="D10" i="2"/>
  <c r="D11" i="2"/>
  <c r="C10" i="2"/>
  <c r="C11" i="2"/>
  <c r="E24" i="3"/>
  <c r="F24" i="3"/>
  <c r="D20" i="3"/>
  <c r="E20" i="3"/>
  <c r="F20" i="3"/>
  <c r="C21" i="3"/>
  <c r="D21" i="3"/>
  <c r="E21" i="3"/>
  <c r="F21" i="3"/>
  <c r="C22" i="3"/>
  <c r="D22" i="3"/>
  <c r="E22" i="3"/>
  <c r="F22" i="3"/>
  <c r="C23" i="3"/>
  <c r="D23" i="3"/>
  <c r="E23" i="3"/>
  <c r="C12" i="2"/>
  <c r="F23" i="3"/>
  <c r="C24" i="3"/>
  <c r="D24" i="3"/>
  <c r="C20" i="3"/>
  <c r="E12" i="2" l="1"/>
  <c r="E16" i="2" s="1"/>
  <c r="C16" i="2"/>
  <c r="C4" i="3"/>
  <c r="D12" i="2"/>
  <c r="D16" i="2" s="1"/>
  <c r="E5" i="3" l="1"/>
  <c r="E24" i="2"/>
  <c r="C24" i="2"/>
  <c r="C5" i="3"/>
  <c r="D24" i="2"/>
  <c r="D5" i="3"/>
  <c r="E6" i="3" l="1"/>
  <c r="E29" i="2"/>
  <c r="E7" i="3" s="1"/>
  <c r="C6" i="3"/>
  <c r="C29" i="2"/>
  <c r="D6" i="3"/>
  <c r="D29" i="2"/>
  <c r="D7" i="3" s="1"/>
  <c r="D32" i="2" l="1"/>
  <c r="E32" i="2"/>
  <c r="D33" i="2"/>
  <c r="E33" i="2"/>
  <c r="C7" i="3"/>
  <c r="D8" i="3" l="1"/>
  <c r="D13" i="3"/>
  <c r="E13" i="3"/>
  <c r="E8" i="3"/>
</calcChain>
</file>

<file path=xl/sharedStrings.xml><?xml version="1.0" encoding="utf-8"?>
<sst xmlns="http://schemas.openxmlformats.org/spreadsheetml/2006/main" count="310" uniqueCount="273">
  <si>
    <t>Air Quality Engineering Alternatives Tool — User Inputs</t>
  </si>
  <si>
    <t>Blue cells are user-adjustable inputs. All other cells are calculated. Do not edit gray or black cells.</t>
  </si>
  <si>
    <t>Parameter</t>
  </si>
  <si>
    <t>Value</t>
  </si>
  <si>
    <t>Units</t>
  </si>
  <si>
    <t>Source</t>
  </si>
  <si>
    <t>Notes</t>
  </si>
  <si>
    <t xml:space="preserve">  SOURCE CHARACTERISTICS</t>
  </si>
  <si>
    <t>Emission rate (Q)</t>
  </si>
  <si>
    <t>50</t>
  </si>
  <si>
    <t>g/s</t>
  </si>
  <si>
    <t>EPA AP-42</t>
  </si>
  <si>
    <t>Mass of PM2.5 emitted per second</t>
  </si>
  <si>
    <t>Stack height (H)</t>
  </si>
  <si>
    <t>30</t>
  </si>
  <si>
    <t>m</t>
  </si>
  <si>
    <t>Site data</t>
  </si>
  <si>
    <t>Effective release height</t>
  </si>
  <si>
    <t>Stack exit velocity</t>
  </si>
  <si>
    <t>12</t>
  </si>
  <si>
    <t>m/s</t>
  </si>
  <si>
    <t>Flue gas exit speed</t>
  </si>
  <si>
    <t>Stack diameter</t>
  </si>
  <si>
    <t>1.5</t>
  </si>
  <si>
    <t>Inner diameter of stack</t>
  </si>
  <si>
    <t xml:space="preserve">  METEOROLOGICAL CONDITIONS</t>
  </si>
  <si>
    <t>Mean wind speed (u)</t>
  </si>
  <si>
    <t>3.5</t>
  </si>
  <si>
    <t>NWS Fort Collins</t>
  </si>
  <si>
    <t>Annual average at hub height</t>
  </si>
  <si>
    <t>Pasquill stability class (1–6)</t>
  </si>
  <si>
    <t>3</t>
  </si>
  <si>
    <t>—</t>
  </si>
  <si>
    <t>EPA guidance</t>
  </si>
  <si>
    <t>1=A(unstable)…6=F(stable). 3=C</t>
  </si>
  <si>
    <t>Wind direction (for display)</t>
  </si>
  <si>
    <t>270</t>
  </si>
  <si>
    <t>degrees</t>
  </si>
  <si>
    <t>NWS</t>
  </si>
  <si>
    <t>Prevailing wind bearing</t>
  </si>
  <si>
    <t xml:space="preserve">  RECEPTOR / SITE GEOMETRY</t>
  </si>
  <si>
    <t>Source–receptor distance (x)</t>
  </si>
  <si>
    <t>500</t>
  </si>
  <si>
    <t>GIS measurement</t>
  </si>
  <si>
    <t>Center of residential area</t>
  </si>
  <si>
    <t>Receptor height (z)</t>
  </si>
  <si>
    <t>Standard</t>
  </si>
  <si>
    <t>Breathing height</t>
  </si>
  <si>
    <t>Lateral offset (y)</t>
  </si>
  <si>
    <t>0</t>
  </si>
  <si>
    <t>Worst-case</t>
  </si>
  <si>
    <t>Centerline = maximum impact</t>
  </si>
  <si>
    <t xml:space="preserve">  ALTERNATIVE A — COMMUNITY VEGETATION BUFFER</t>
  </si>
  <si>
    <t>Buffer width</t>
  </si>
  <si>
    <t>20</t>
  </si>
  <si>
    <t>Design spec</t>
  </si>
  <si>
    <t>Width of planted barrier</t>
  </si>
  <si>
    <t>Vegetation reduction factor</t>
  </si>
  <si>
    <t>0.25</t>
  </si>
  <si>
    <t>fraction</t>
  </si>
  <si>
    <t>Literature</t>
  </si>
  <si>
    <t>Fraction of C_out removed (10–40%)</t>
  </si>
  <si>
    <t>Buffer capital cost</t>
  </si>
  <si>
    <t>180000</t>
  </si>
  <si>
    <t>USD</t>
  </si>
  <si>
    <t>Estimate</t>
  </si>
  <si>
    <t>Installed cost for 300 m linear buffer</t>
  </si>
  <si>
    <t>Buffer annual O&amp;M</t>
  </si>
  <si>
    <t>8000</t>
  </si>
  <si>
    <t>USD/yr</t>
  </si>
  <si>
    <t>Irrigation, replacement planting</t>
  </si>
  <si>
    <t xml:space="preserve">  ALTERNATIVE B — HOME HEPA FILTRATION + SEALING</t>
  </si>
  <si>
    <t>Number of homes treated</t>
  </si>
  <si>
    <t>120</t>
  </si>
  <si>
    <t>homes</t>
  </si>
  <si>
    <t>Census block</t>
  </si>
  <si>
    <t>Homes in receptor area</t>
  </si>
  <si>
    <t>HEPA filter efficiency</t>
  </si>
  <si>
    <t>0.85</t>
  </si>
  <si>
    <t>ASHRAE</t>
  </si>
  <si>
    <t>Fraction of indoor PM2.5 removed</t>
  </si>
  <si>
    <t>Infiltration rate (ACH_nat)</t>
  </si>
  <si>
    <t>0.45</t>
  </si>
  <si>
    <t>1/hr</t>
  </si>
  <si>
    <t>Natural air changes per hour</t>
  </si>
  <si>
    <t>Mechanical ventilation rate (ACH_mech)</t>
  </si>
  <si>
    <t>0.15</t>
  </si>
  <si>
    <t>Design</t>
  </si>
  <si>
    <t>Added ventilation from ERV/HRV</t>
  </si>
  <si>
    <t>Cost per home (install)</t>
  </si>
  <si>
    <t>1800</t>
  </si>
  <si>
    <t>USD/home</t>
  </si>
  <si>
    <t>RSMeans</t>
  </si>
  <si>
    <t>HEPA + sealing labor + materials</t>
  </si>
  <si>
    <t>Annual filter replacement / home</t>
  </si>
  <si>
    <t>USD/yr/home</t>
  </si>
  <si>
    <t>Vendor</t>
  </si>
  <si>
    <t>Filter cartridge replacement</t>
  </si>
  <si>
    <t>Average occupant time indoors</t>
  </si>
  <si>
    <t>16</t>
  </si>
  <si>
    <t>hr/day</t>
  </si>
  <si>
    <t>EPA CHAD</t>
  </si>
  <si>
    <t>Time spent inside residence</t>
  </si>
  <si>
    <t xml:space="preserve">  MCDA WEIGHTS (used on MCDA tab)</t>
  </si>
  <si>
    <t>Weight — Technical Effectiveness</t>
  </si>
  <si>
    <t>0.35</t>
  </si>
  <si>
    <t>User-set</t>
  </si>
  <si>
    <t>Must sum to 1.0 across four criteria</t>
  </si>
  <si>
    <t>Weight — Cost &amp; Practicality</t>
  </si>
  <si>
    <t>Weight — Public Health &amp; Safety</t>
  </si>
  <si>
    <t>Weight — Environmental</t>
  </si>
  <si>
    <t xml:space="preserve">  ↳ Weights sum (must = 1.0)</t>
  </si>
  <si>
    <t>Air Quality Model — Gaussian Dispersion + Single-Zone Indoor</t>
  </si>
  <si>
    <t>Parameter / Step</t>
  </si>
  <si>
    <t>Baseline</t>
  </si>
  <si>
    <t>Alt A (Buffer)</t>
  </si>
  <si>
    <t>Alt B (HEPA)</t>
  </si>
  <si>
    <t>Formula / Notes</t>
  </si>
  <si>
    <t xml:space="preserve">  STEP 1 — GAUSSIAN PLUME DISPERSION (outdoor C at receptor)</t>
  </si>
  <si>
    <t>Stability class (from Inputs)</t>
  </si>
  <si>
    <t>Pulled from Inputs tab</t>
  </si>
  <si>
    <t>Wind speed u (m/s)</t>
  </si>
  <si>
    <t>Pulled from Inputs</t>
  </si>
  <si>
    <t>Emission rate Q (g/s)</t>
  </si>
  <si>
    <t>Same source for all scenarios</t>
  </si>
  <si>
    <t>Effective stack height H (m)</t>
  </si>
  <si>
    <t>Stack height (m)</t>
  </si>
  <si>
    <t>Source–receptor distance x (m)</t>
  </si>
  <si>
    <t>x in km (for σ equations)</t>
  </si>
  <si>
    <t>Convert m to km</t>
  </si>
  <si>
    <t>σy dispersion coeff (m)</t>
  </si>
  <si>
    <t>P-G class C: σy=156·x^0.922</t>
  </si>
  <si>
    <t>σz dispersion coeff (m)</t>
  </si>
  <si>
    <t>P-G class C: σz=108·x^0.816</t>
  </si>
  <si>
    <t>Outdoor ground-level C_out (µg/m³)</t>
  </si>
  <si>
    <t>Gaussian plume (centerline, z=0): C=Q/(π·σy·σz·u)·e^(-H²/2σz²)</t>
  </si>
  <si>
    <t xml:space="preserve">  STEP 2 — ALTERNATIVE A: VEGETATION BUFFER EFFECT ON C_out</t>
  </si>
  <si>
    <t>Vegetation reduction factor (f_buf)</t>
  </si>
  <si>
    <t>Fraction of C_out removed by buffer (Alt A only)</t>
  </si>
  <si>
    <t>C_out after buffer (µg/m³)</t>
  </si>
  <si>
    <t>Baseline unchanged; Alt A applies buffer reduction</t>
  </si>
  <si>
    <t xml:space="preserve">  STEP 3 — SINGLE-ZONE INDOOR MODEL (mass balance)</t>
  </si>
  <si>
    <t>Natural infiltration rate ACH_nat (1/hr)</t>
  </si>
  <si>
    <t>Mechanical ventilation ACH_mech (1/hr)</t>
  </si>
  <si>
    <t>Alt B adds mechanical ERV/HRV</t>
  </si>
  <si>
    <t>HEPA filter efficiency (η)</t>
  </si>
  <si>
    <t>Only Alt B applies filtration</t>
  </si>
  <si>
    <t>Effective removal rate from filtration (1/hr)</t>
  </si>
  <si>
    <t>Removal rate = (ACH_nat+ACH_mech) × η for Alt B</t>
  </si>
  <si>
    <t>Total air exchange + removal (1/hr)</t>
  </si>
  <si>
    <t>Denominator of single-zone steady-state equation</t>
  </si>
  <si>
    <t>Indoor steady-state C_in (µg/m³)</t>
  </si>
  <si>
    <t>C_in = C_out_adj × ACH_nat / (total exchange + removal)</t>
  </si>
  <si>
    <t xml:space="preserve">  STEP 4 — OCCUPANT DOSE</t>
  </si>
  <si>
    <t>Time indoors (hr/day)</t>
  </si>
  <si>
    <t>Daily inhalation volume (m³/day)</t>
  </si>
  <si>
    <t>~0.144 m³/day (0.5 m³/hr at rest, 12 hr)</t>
  </si>
  <si>
    <t>Daily dose indoors (µg/day)</t>
  </si>
  <si>
    <t>Dose = C_in × time × inhalation rate</t>
  </si>
  <si>
    <t xml:space="preserve">  STEP 5 — DOSE REDUCTION vs. BASELINE</t>
  </si>
  <si>
    <t>Absolute dose reduction (µg/day)</t>
  </si>
  <si>
    <t>Baseline dose minus alternative dose</t>
  </si>
  <si>
    <t>Percent dose reduction (%)</t>
  </si>
  <si>
    <t>% improvement vs. baseline</t>
  </si>
  <si>
    <t xml:space="preserve">  STEP 6 — COST SUMMARY</t>
  </si>
  <si>
    <t>Capital cost (USD)</t>
  </si>
  <si>
    <t>Alt A: buffer install; Alt B: cost/home × homes</t>
  </si>
  <si>
    <t>Annual O&amp;M cost (USD/yr)</t>
  </si>
  <si>
    <t>Alt A: maintenance; Alt B: filter replacement × homes</t>
  </si>
  <si>
    <t>20-year lifecycle cost (USD)</t>
  </si>
  <si>
    <t>Capital + 20 years O&amp;M (undiscounted)</t>
  </si>
  <si>
    <t>Results Dashboard — Comparison of Engineering Alternatives</t>
  </si>
  <si>
    <t>Metric</t>
  </si>
  <si>
    <t>Baseline (no action)</t>
  </si>
  <si>
    <t>Alt A — Community Buffer</t>
  </si>
  <si>
    <t>Alt B — Home Filtration</t>
  </si>
  <si>
    <t xml:space="preserve">  AIR QUALITY MODEL OUTPUTS</t>
  </si>
  <si>
    <t>Outdoor C_out — baseline (µg/m³)</t>
  </si>
  <si>
    <t>Gaussian plume at receptor</t>
  </si>
  <si>
    <t>Outdoor C_out after intervention (µg/m³)</t>
  </si>
  <si>
    <t>Alt A reduces C_out; Alt B unchanged</t>
  </si>
  <si>
    <t>Single-zone mass balance</t>
  </si>
  <si>
    <t>Daily occupant dose (µg/day)</t>
  </si>
  <si>
    <t>C_in × time × inhalation</t>
  </si>
  <si>
    <t>Dose reduction vs. baseline (%)</t>
  </si>
  <si>
    <t>Percent improvement</t>
  </si>
  <si>
    <t xml:space="preserve">  COST SUMMARY</t>
  </si>
  <si>
    <t>Undiscounted</t>
  </si>
  <si>
    <t>Cost per % dose reduction (USD)</t>
  </si>
  <si>
    <t>Lifecycle cost ÷ % dose reduction</t>
  </si>
  <si>
    <t xml:space="preserve">  WEIGHTED MCDA SCORE (from MCDA tab)</t>
  </si>
  <si>
    <t>Overall MCDA weighted score</t>
  </si>
  <si>
    <t>Higher = better</t>
  </si>
  <si>
    <t>Sensitivity: C_out and C_in vs. Source–Receptor Distance (Alt B active)</t>
  </si>
  <si>
    <t>Distance (m)</t>
  </si>
  <si>
    <t>C_out baseline (µg/m³)</t>
  </si>
  <si>
    <t>C_in Baseline (µg/m³)</t>
  </si>
  <si>
    <t>C_in Alt A (µg/m³)</t>
  </si>
  <si>
    <t>C_in Alt B (µg/m³)</t>
  </si>
  <si>
    <t>Multi-Criteria Decision Analysis (MCDA) — Structured Comparison</t>
  </si>
  <si>
    <t>Score each alternative on a 1–5 scale (1=poor, 3=moderate, 5=excellent). Weights are set on the Inputs tab. Weighted score = weight × score. Blue cells are user-scored. An example pre-filled below shows how to interpret each criterion.</t>
  </si>
  <si>
    <t>Criterion (weight from Inputs)</t>
  </si>
  <si>
    <t>Score — Alt A</t>
  </si>
  <si>
    <t>Score — Alt B</t>
  </si>
  <si>
    <t>Scoring guidance</t>
  </si>
  <si>
    <t xml:space="preserve">  1. TECHNICAL EFFECTIVENESS  (quantitative — pulled from model output)</t>
  </si>
  <si>
    <t>Outdoor concentration reduction (C_out reduction %)</t>
  </si>
  <si>
    <t>5=≥40% reduction  4=30–40%  3=20–30%  2=10–20%  1=&lt;10%  [Alt A acts here]</t>
  </si>
  <si>
    <t>Indoor concentration reduction (C_in reduction %)</t>
  </si>
  <si>
    <t>5=≥80% reduction  4=60–80%  3=40–60%  2=20–40%  1=&lt;20%  [Alt B acts here]</t>
  </si>
  <si>
    <t>Coverage of exposed population</t>
  </si>
  <si>
    <t>5=all residents + outdoor workers  3=residents only  1=partial households</t>
  </si>
  <si>
    <t>Robustness across wind / weather conditions</t>
  </si>
  <si>
    <t>5=works regardless of weather  3=moderate dependence  1=highly weather-dependent</t>
  </si>
  <si>
    <t xml:space="preserve">  2. COST &amp; PRACTICALITY</t>
  </si>
  <si>
    <t>Upfront capital cost</t>
  </si>
  <si>
    <t>5=very low (&lt;$50k)  4=$50–200k  3=$200–500k  2=$500k–1M  1=&gt;$1M</t>
  </si>
  <si>
    <t>Annual O&amp;M burden</t>
  </si>
  <si>
    <t>5=negligible  4=low (&lt;$10k/yr)  3=moderate  2=high  1=very high</t>
  </si>
  <si>
    <t>Implementation timeline</t>
  </si>
  <si>
    <t>5=&lt;6 months  4=6–12 months  3=1–2 years  2=2–5 years  1=&gt;5 years</t>
  </si>
  <si>
    <t>Dependency on resident/landlord action</t>
  </si>
  <si>
    <t>5=no resident action needed  3=some cooperation  1=fully dependent on residents</t>
  </si>
  <si>
    <t xml:space="preserve">  3. PUBLIC HEALTH &amp; SAFETY</t>
  </si>
  <si>
    <t>Benefit to most vulnerable residents (EJ focus)</t>
  </si>
  <si>
    <t>5=strong benefit to lowest-income, highest-burden households  1=minimal or inequitable</t>
  </si>
  <si>
    <t>Protection of outdoor + transient populations</t>
  </si>
  <si>
    <t>5=protects outdoor workers, children playing outside  1=only indoor occupants</t>
  </si>
  <si>
    <t>Secondary health risks from intervention</t>
  </si>
  <si>
    <t>5=no secondary risks  3=minor risks (filter mold, inadequate ventilation)  1=significant</t>
  </si>
  <si>
    <t>Long-term health co-benefits</t>
  </si>
  <si>
    <t>5=multiple co-benefits (noise, heat, mental health)  1=exposure reduction only</t>
  </si>
  <si>
    <t xml:space="preserve">  4. ENVIRONMENTAL CONSIDERATIONS</t>
  </si>
  <si>
    <t>Ecosystem co-benefits</t>
  </si>
  <si>
    <t>5=strong (habitat, urban cooling, carbon)  3=neutral  1=negative</t>
  </si>
  <si>
    <t>Solid waste / material burden</t>
  </si>
  <si>
    <t>5=no waste stream  3=minor (filter disposal)  1=significant material waste</t>
  </si>
  <si>
    <t>Energy consumption</t>
  </si>
  <si>
    <t>5=no energy use  3=moderate (ERV fan)  1=high ongoing energy demand</t>
  </si>
  <si>
    <t>Pollutant shifting / unintended releases</t>
  </si>
  <si>
    <t>5=no pollutant shifting  3=minor concerns  1=significant secondary pollution</t>
  </si>
  <si>
    <t>WEIGHTED MCDA SUMMARY</t>
  </si>
  <si>
    <t>Criterion</t>
  </si>
  <si>
    <t>Avg Score — Alt A</t>
  </si>
  <si>
    <t>Avg Score — Alt B</t>
  </si>
  <si>
    <t>Technical Effectiveness</t>
  </si>
  <si>
    <t>Weight: '1_Inputs'!C31</t>
  </si>
  <si>
    <t>Cost &amp; Practicality</t>
  </si>
  <si>
    <t>Weight: '1_Inputs'!C32</t>
  </si>
  <si>
    <t>Public Health &amp; Safety</t>
  </si>
  <si>
    <t>Weight: '1_Inputs'!C33</t>
  </si>
  <si>
    <t>Environmental</t>
  </si>
  <si>
    <t>Weight: '1_Inputs'!C34</t>
  </si>
  <si>
    <t>OVERALL WEIGHTED SCORE  (max = 5.0)</t>
  </si>
  <si>
    <t>Weighted sum of criterion averages × weights from Inputs tab</t>
  </si>
  <si>
    <t>INTERPRETATION: A score above 3.5 indicates a strong alternative. The higher-scoring alternative is preferred. If scores are within 0.2 of each other, consider a combined approach. Technical Effectiveness scores should be validated against model outputs on the 2_Model tab before finalizing the recommendation.</t>
  </si>
  <si>
    <t>Tool Documentation — AI Collaboration Record</t>
  </si>
  <si>
    <t>TOOL PURPOSE</t>
  </si>
  <si>
    <t>This tool implements a two-stage air quality model to compare engineering alternatives for reducing PM2.5 exposure experienced by residents of Commerce City, CO near the Suncor Refinery and Rawhide Energy Station. It quantifies outdoor pollutant concentrations using simplified Gaussian dispersion, translates those to indoor concentrations via a single-zone mass balance model, estimates daily occupant dose, and compares two interventions across four structured evaluation criteria using a weighted MCDA framework.</t>
  </si>
  <si>
    <t>INPUTS REQUIRED</t>
  </si>
  <si>
    <t>Emission rate (Q, g/s), stack height (m), wind speed (m/s), Pasquill-Gifford stability class (1–6), source-receptor distance (m), building infiltration rate (ACH), HEPA filter efficiency, mechanical ventilation rate, number of homes treated, per-home installation cost, annual O&amp;M cost, vegetation buffer reduction factor, buffer capital cost, and MCDA criterion weights.</t>
  </si>
  <si>
    <t>MODELING APPROACH</t>
  </si>
  <si>
    <t>Outdoor concentrations use the Gaussian plume equation (centerline, ground-level) with Pasquill-Gifford dispersion coefficients (power-law form, stability class C as default). This is appropriate because the source is a point-source stack at a known height, distances are in the near-field (100–2000 m), and the goal is a comparative rather than regulatory-grade estimate. Indoor concentrations use the single-zone steady-state mass balance: C_in = C_out × ACH_nat / (ACH_nat + ACH_mech + removal rate), where removal rate = (ACH_nat + ACH_mech) × η_HEPA.</t>
  </si>
  <si>
    <t>OUTPUTS &amp; COMPARISON STRUCTURE</t>
  </si>
  <si>
    <t>The tool produces: (1) outdoor C_out and indoor C_in concentrations for baseline and each alternative; (2) daily occupant dose in µg/day; (3) percent dose reduction vs. baseline; (4) capital and lifecycle costs; (5) a sensitivity table showing C_in across a range of distances (100–2000 m); (6) a concentration-vs-distance line chart; and (7) a weighted MCDA score across four criteria. Alternatives are evaluated under identical source and meteorological conditions to ensure comparability.</t>
  </si>
  <si>
    <t>INTERPRETING OUTPUTS</t>
  </si>
  <si>
    <t>A higher percent dose reduction means greater exposure benefit. The cost-per-percent-dose-reduction metric normalizes effectiveness against cost for direct comparison. On the MCDA tab, scores of 1–5 are assigned to each criterion sub-factor; the tool computes weighted averages using weights set on the Inputs tab. A weighted score &gt;3.5 indicates a strong alternative; scores within 0.2 of each other suggest a combined approach may be warranted. The sensitivity chart helps identify at what distances each alternative provides meaningful benefit.</t>
  </si>
  <si>
    <t>AI COLLABORATION RECORD</t>
  </si>
  <si>
    <t>This tool was developed through substantial AI collaboration (Claude, Anthropic). The AI co-generated the Gaussian dispersion formula structure, single-zone indoor model equations, MCDA scoring rubric, sensitivity analysis table logic, and all Excel formula construction. The AI also assisted with: selecting appropriate P-G stability class coefficients, identifying the correct mass balance denominator for combined natural+mechanical+filtration ventilation, structuring the MCDA criterion weights, and debugging formula references across sheets. All modeling assumptions were reviewed and validated by the user.</t>
  </si>
  <si>
    <t>KEY ASSUMPTIONS &amp; LIMITATIONS</t>
  </si>
  <si>
    <t>1. Steady-state Gaussian plume (does not capture temporal variation in emissions or wind). 2. Pasquill-Gifford class C (slightly unstable) assumed as representative annual average. 3. Single-zone indoor model assumes uniform mixing within the home. 4. Infiltration rate and HEPA efficiency are assumed constant; real values vary by home age and construction. 5. Dose-response relationship at these concentration levels is uncertain (explicit unknown in model). 6. Costs are order-of-magnitude estimates; site-specific engineering would be required for procurement.</t>
  </si>
  <si>
    <t>SOURCES</t>
  </si>
  <si>
    <t>Gaussian coefficients: Seinfeld &amp; Pandis (2016), Atmospheric Chemistry and Physics. Indoor model: EPA Indoor Air Quality Tools for Schools (EPA 402-K-09-003). HEPA efficiency: ASHRAE Standard 52.2. Infiltration rates: ASHRAE Handbook of Fundamentals. Emission rates: EPA AP-42 / Colorado APEN database. P-G stability class guidance: EPA AERMOD Implementation Guide (EPA-454/B-19-027).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</si>
</sst>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24">
    <font>
      <sz val="11"/>
      <color theme="1"/>
      <name val="Calibri"/>
      <family val="2"/>
      <charset val="1"/>
    </font>
    <font>
      <b/>
      <sz val="14"/>
      <color rgb="FFFFFFFF"/>
      <name val="Arial"/>
      <charset val="1"/>
    </font>
    <font>
      <i/>
      <sz val="10"/>
      <color rgb="FF888780"/>
      <name val="Arial"/>
      <charset val="1"/>
    </font>
    <font>
      <b/>
      <sz val="11"/>
      <color rgb="FFFFFFFF"/>
      <name val="Arial"/>
      <charset val="1"/>
    </font>
    <font>
      <b/>
      <sz val="11"/>
      <color rgb="FF993C1D"/>
      <name val="Arial"/>
      <charset val="1"/>
    </font>
    <font>
      <sz val="10"/>
      <color rgb="FF000000"/>
      <name val="Arial"/>
      <charset val="1"/>
    </font>
    <font>
      <b/>
      <sz val="11"/>
      <color rgb="FF0000FF"/>
      <name val="Arial"/>
      <charset val="1"/>
    </font>
    <font>
      <sz val="10"/>
      <color rgb="FF444441"/>
      <name val="Arial"/>
      <charset val="1"/>
    </font>
    <font>
      <b/>
      <sz val="10"/>
      <color rgb="FF854F0B"/>
      <name val="Arial"/>
      <charset val="1"/>
    </font>
    <font>
      <b/>
      <sz val="11"/>
      <color rgb="FF000000"/>
      <name val="Arial"/>
      <charset val="1"/>
    </font>
    <font>
      <b/>
      <sz val="11"/>
      <color rgb="FF0F6E56"/>
      <name val="Arial"/>
      <charset val="1"/>
    </font>
    <font>
      <b/>
      <sz val="10"/>
      <color rgb="FF000000"/>
      <name val="Arial"/>
      <charset val="1"/>
    </font>
    <font>
      <i/>
      <sz val="9"/>
      <color rgb="FF888780"/>
      <name val="Arial"/>
      <charset val="1"/>
    </font>
    <font>
      <b/>
      <sz val="15"/>
      <color rgb="FFFFFFFF"/>
      <name val="Arial"/>
      <charset val="1"/>
    </font>
    <font>
      <b/>
      <sz val="11"/>
      <color rgb="FF534AB7"/>
      <name val="Arial"/>
      <charset val="1"/>
    </font>
    <font>
      <b/>
      <sz val="12"/>
      <color rgb="FFFFFFFF"/>
      <name val="Arial"/>
      <charset val="1"/>
    </font>
    <font>
      <b/>
      <sz val="10"/>
      <color rgb="FFFFFFFF"/>
      <name val="Arial"/>
      <charset val="1"/>
    </font>
    <font>
      <i/>
      <sz val="10"/>
      <color rgb="FF444441"/>
      <name val="Arial"/>
      <charset val="1"/>
    </font>
    <font>
      <b/>
      <sz val="12"/>
      <color rgb="FF0000FF"/>
      <name val="Arial"/>
      <charset val="1"/>
    </font>
    <font>
      <i/>
      <sz val="9"/>
      <color rgb="FF444441"/>
      <name val="Arial"/>
      <charset val="1"/>
    </font>
    <font>
      <b/>
      <sz val="13"/>
      <color rgb="FF534AB7"/>
      <name val="Arial"/>
      <charset val="1"/>
    </font>
    <font>
      <i/>
      <sz val="10"/>
      <color rgb="FF854F0B"/>
      <name val="Arial"/>
      <charset val="1"/>
    </font>
    <font>
      <b/>
      <sz val="11"/>
      <color rgb="FF444441"/>
      <name val="Arial"/>
      <charset val="1"/>
    </font>
    <font>
      <sz val="10"/>
      <color rgb="FF000000"/>
      <name val="Arial"/>
      <family val="2"/>
    </font>
  </fonts>
  <fills count="14">
    <fill>
      <patternFill patternType="none"/>
    </fill>
    <fill>
      <patternFill patternType="gray125"/>
    </fill>
    <fill>
      <patternFill patternType="solid">
        <fgColor rgb="FF993C1D"/>
        <bgColor rgb="FF854F0B"/>
      </patternFill>
    </fill>
    <fill>
      <patternFill patternType="solid">
        <fgColor rgb="FFFAECE7"/>
        <bgColor rgb="FFFAEEDA"/>
      </patternFill>
    </fill>
    <fill>
      <patternFill patternType="solid">
        <fgColor rgb="FFEEF4FF"/>
        <bgColor rgb="FFEEEDFE"/>
      </patternFill>
    </fill>
    <fill>
      <patternFill patternType="solid">
        <fgColor rgb="FFFAEEDA"/>
        <bgColor rgb="FFFAECE7"/>
      </patternFill>
    </fill>
    <fill>
      <patternFill patternType="solid">
        <fgColor rgb="FF0F6E56"/>
        <bgColor rgb="FF008080"/>
      </patternFill>
    </fill>
    <fill>
      <patternFill patternType="solid">
        <fgColor rgb="FFE1F5EE"/>
        <bgColor rgb="FFEAF3DE"/>
      </patternFill>
    </fill>
    <fill>
      <patternFill patternType="solid">
        <fgColor rgb="FFFFFFFF"/>
        <bgColor rgb="FFF9F9F9"/>
      </patternFill>
    </fill>
    <fill>
      <patternFill patternType="solid">
        <fgColor rgb="FFEAF3DE"/>
        <bgColor rgb="FFF1EFE8"/>
      </patternFill>
    </fill>
    <fill>
      <patternFill patternType="solid">
        <fgColor rgb="FF534AB7"/>
        <bgColor rgb="FF333399"/>
      </patternFill>
    </fill>
    <fill>
      <patternFill patternType="solid">
        <fgColor rgb="FFEEEDFE"/>
        <bgColor rgb="FFEEF4FF"/>
      </patternFill>
    </fill>
    <fill>
      <patternFill patternType="solid">
        <fgColor rgb="FFF1EFE8"/>
        <bgColor rgb="FFFAECE7"/>
      </patternFill>
    </fill>
    <fill>
      <patternFill patternType="solid">
        <fgColor rgb="FF444441"/>
        <bgColor rgb="FF333300"/>
      </patternFill>
    </fill>
  </fills>
  <borders count="3">
    <border>
      <left/>
      <right/>
      <top/>
      <bottom/>
      <diagonal/>
    </border>
    <border>
      <left style="medium">
        <color rgb="FF888780"/>
      </left>
      <right style="medium">
        <color rgb="FF888780"/>
      </right>
      <top style="medium">
        <color rgb="FF888780"/>
      </top>
      <bottom style="medium">
        <color rgb="FF888780"/>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9">
    <xf numFmtId="0" fontId="0" fillId="0" borderId="0" xfId="0"/>
    <xf numFmtId="0" fontId="14" fillId="11" borderId="2" xfId="0" applyFont="1" applyFill="1" applyBorder="1" applyAlignment="1">
      <alignment horizontal="left" vertical="center"/>
    </xf>
    <xf numFmtId="0" fontId="3" fillId="2" borderId="1" xfId="0" applyFont="1" applyFill="1" applyBorder="1" applyAlignment="1">
      <alignment horizontal="center" vertical="center"/>
    </xf>
    <xf numFmtId="0" fontId="5" fillId="0" borderId="2" xfId="0" applyFont="1" applyBorder="1" applyAlignment="1">
      <alignment horizontal="left" vertical="center" wrapText="1"/>
    </xf>
    <xf numFmtId="0" fontId="6" fillId="4" borderId="2" xfId="0" applyFont="1" applyFill="1" applyBorder="1" applyAlignment="1">
      <alignment horizontal="center" vertical="center"/>
    </xf>
    <xf numFmtId="0" fontId="7" fillId="0" borderId="2" xfId="0" applyFont="1" applyBorder="1" applyAlignment="1">
      <alignment horizontal="center" vertical="center" wrapText="1"/>
    </xf>
    <xf numFmtId="0" fontId="8" fillId="5" borderId="2" xfId="0" applyFont="1" applyFill="1" applyBorder="1"/>
    <xf numFmtId="2" fontId="9" fillId="5" borderId="2" xfId="0" applyNumberFormat="1" applyFont="1" applyFill="1" applyBorder="1" applyAlignment="1">
      <alignment horizontal="center" vertical="center"/>
    </xf>
    <xf numFmtId="0" fontId="0" fillId="5" borderId="2" xfId="0" applyFill="1" applyBorder="1"/>
    <xf numFmtId="0" fontId="3" fillId="6" borderId="1" xfId="0" applyFont="1" applyFill="1" applyBorder="1" applyAlignment="1">
      <alignment horizontal="center" vertical="center"/>
    </xf>
    <xf numFmtId="0" fontId="11" fillId="0" borderId="2" xfId="0" applyFont="1" applyBorder="1" applyAlignment="1">
      <alignment horizontal="left" vertical="center" wrapText="1"/>
    </xf>
    <xf numFmtId="1" fontId="11" fillId="8" borderId="2" xfId="0" applyNumberFormat="1" applyFont="1" applyFill="1" applyBorder="1" applyAlignment="1">
      <alignment horizontal="center" vertical="center"/>
    </xf>
    <xf numFmtId="1" fontId="11" fillId="9" borderId="2" xfId="0" applyNumberFormat="1" applyFont="1" applyFill="1" applyBorder="1" applyAlignment="1">
      <alignment horizontal="center" vertical="center"/>
    </xf>
    <xf numFmtId="1" fontId="11" fillId="7" borderId="2" xfId="0" applyNumberFormat="1" applyFont="1" applyFill="1" applyBorder="1" applyAlignment="1">
      <alignment horizontal="center" vertical="center"/>
    </xf>
    <xf numFmtId="0" fontId="12" fillId="0" borderId="2" xfId="0" applyFont="1" applyBorder="1" applyAlignment="1">
      <alignment horizontal="left" vertical="center" wrapText="1"/>
    </xf>
    <xf numFmtId="2" fontId="5" fillId="8" borderId="2" xfId="0" applyNumberFormat="1" applyFont="1" applyFill="1" applyBorder="1" applyAlignment="1">
      <alignment horizontal="center" vertical="center"/>
    </xf>
    <xf numFmtId="2" fontId="5" fillId="9" borderId="2" xfId="0" applyNumberFormat="1" applyFont="1" applyFill="1" applyBorder="1" applyAlignment="1">
      <alignment horizontal="center" vertical="center"/>
    </xf>
    <xf numFmtId="2" fontId="5" fillId="7" borderId="2" xfId="0" applyNumberFormat="1" applyFont="1" applyFill="1" applyBorder="1" applyAlignment="1">
      <alignment horizontal="center" vertical="center"/>
    </xf>
    <xf numFmtId="164" fontId="5" fillId="8" borderId="2" xfId="0" applyNumberFormat="1" applyFont="1" applyFill="1" applyBorder="1" applyAlignment="1">
      <alignment horizontal="center" vertical="center"/>
    </xf>
    <xf numFmtId="164" fontId="5" fillId="9" borderId="2" xfId="0" applyNumberFormat="1" applyFont="1" applyFill="1" applyBorder="1" applyAlignment="1">
      <alignment horizontal="center" vertical="center"/>
    </xf>
    <xf numFmtId="164" fontId="5" fillId="7" borderId="2" xfId="0" applyNumberFormat="1" applyFont="1" applyFill="1" applyBorder="1" applyAlignment="1">
      <alignment horizontal="center" vertical="center"/>
    </xf>
    <xf numFmtId="1" fontId="5" fillId="8" borderId="2" xfId="0" applyNumberFormat="1" applyFont="1" applyFill="1" applyBorder="1" applyAlignment="1">
      <alignment horizontal="center" vertical="center"/>
    </xf>
    <xf numFmtId="1" fontId="5" fillId="9" borderId="2" xfId="0" applyNumberFormat="1" applyFont="1" applyFill="1" applyBorder="1" applyAlignment="1">
      <alignment horizontal="center" vertical="center"/>
    </xf>
    <xf numFmtId="1" fontId="5" fillId="7" borderId="2" xfId="0" applyNumberFormat="1" applyFont="1" applyFill="1" applyBorder="1" applyAlignment="1">
      <alignment horizontal="center" vertical="center"/>
    </xf>
    <xf numFmtId="165" fontId="5" fillId="8" borderId="2" xfId="0" applyNumberFormat="1" applyFont="1" applyFill="1" applyBorder="1" applyAlignment="1">
      <alignment horizontal="center" vertical="center"/>
    </xf>
    <xf numFmtId="165" fontId="5" fillId="9" borderId="2" xfId="0" applyNumberFormat="1" applyFont="1" applyFill="1" applyBorder="1" applyAlignment="1">
      <alignment horizontal="center" vertical="center"/>
    </xf>
    <xf numFmtId="165" fontId="5" fillId="7" borderId="2" xfId="0" applyNumberFormat="1" applyFont="1" applyFill="1" applyBorder="1" applyAlignment="1">
      <alignment horizontal="center" vertical="center"/>
    </xf>
    <xf numFmtId="2" fontId="11" fillId="8" borderId="2" xfId="0" applyNumberFormat="1" applyFont="1" applyFill="1" applyBorder="1" applyAlignment="1">
      <alignment horizontal="center" vertical="center"/>
    </xf>
    <xf numFmtId="2" fontId="11" fillId="9" borderId="2" xfId="0" applyNumberFormat="1" applyFont="1" applyFill="1" applyBorder="1" applyAlignment="1">
      <alignment horizontal="center" vertical="center"/>
    </xf>
    <xf numFmtId="2" fontId="11" fillId="7" borderId="2" xfId="0" applyNumberFormat="1" applyFont="1" applyFill="1" applyBorder="1" applyAlignment="1">
      <alignment horizontal="center" vertical="center"/>
    </xf>
    <xf numFmtId="166" fontId="11" fillId="8" borderId="2" xfId="0" applyNumberFormat="1" applyFont="1" applyFill="1" applyBorder="1" applyAlignment="1">
      <alignment horizontal="center" vertical="center"/>
    </xf>
    <xf numFmtId="166" fontId="11" fillId="9" borderId="2" xfId="0" applyNumberFormat="1" applyFont="1" applyFill="1" applyBorder="1" applyAlignment="1">
      <alignment horizontal="center" vertical="center"/>
    </xf>
    <xf numFmtId="166" fontId="11" fillId="7" borderId="2" xfId="0" applyNumberFormat="1" applyFont="1" applyFill="1" applyBorder="1" applyAlignment="1">
      <alignment horizontal="center" vertical="center"/>
    </xf>
    <xf numFmtId="3" fontId="5" fillId="8" borderId="2" xfId="0" applyNumberFormat="1" applyFont="1" applyFill="1" applyBorder="1" applyAlignment="1">
      <alignment horizontal="center" vertical="center"/>
    </xf>
    <xf numFmtId="3" fontId="5" fillId="9" borderId="2" xfId="0" applyNumberFormat="1" applyFont="1" applyFill="1" applyBorder="1" applyAlignment="1">
      <alignment horizontal="center" vertical="center"/>
    </xf>
    <xf numFmtId="3" fontId="5" fillId="7" borderId="2" xfId="0" applyNumberFormat="1" applyFont="1" applyFill="1" applyBorder="1" applyAlignment="1">
      <alignment horizontal="center" vertical="center"/>
    </xf>
    <xf numFmtId="0" fontId="3" fillId="10" borderId="1" xfId="0" applyFont="1" applyFill="1" applyBorder="1" applyAlignment="1">
      <alignment horizontal="center" vertical="center"/>
    </xf>
    <xf numFmtId="2" fontId="11" fillId="12" borderId="2" xfId="0" applyNumberFormat="1" applyFont="1" applyFill="1" applyBorder="1" applyAlignment="1">
      <alignment horizontal="center" vertical="center"/>
    </xf>
    <xf numFmtId="2" fontId="5" fillId="12" borderId="2" xfId="0" applyNumberFormat="1" applyFont="1" applyFill="1" applyBorder="1" applyAlignment="1">
      <alignment horizontal="center" vertical="center"/>
    </xf>
    <xf numFmtId="166" fontId="11" fillId="12" borderId="2" xfId="0" applyNumberFormat="1" applyFont="1" applyFill="1" applyBorder="1" applyAlignment="1">
      <alignment horizontal="center" vertical="center"/>
    </xf>
    <xf numFmtId="3" fontId="11" fillId="12" borderId="2" xfId="0" applyNumberFormat="1" applyFont="1" applyFill="1" applyBorder="1" applyAlignment="1">
      <alignment horizontal="center" vertical="center"/>
    </xf>
    <xf numFmtId="3" fontId="11" fillId="9" borderId="2" xfId="0" applyNumberFormat="1" applyFont="1" applyFill="1" applyBorder="1" applyAlignment="1">
      <alignment horizontal="center" vertical="center"/>
    </xf>
    <xf numFmtId="3" fontId="11" fillId="7" borderId="2" xfId="0" applyNumberFormat="1" applyFont="1" applyFill="1" applyBorder="1" applyAlignment="1">
      <alignment horizontal="center" vertical="center"/>
    </xf>
    <xf numFmtId="3" fontId="5" fillId="12" borderId="2" xfId="0" applyNumberFormat="1" applyFont="1" applyFill="1" applyBorder="1" applyAlignment="1">
      <alignment horizontal="center" vertical="center"/>
    </xf>
    <xf numFmtId="0" fontId="16" fillId="6" borderId="1" xfId="0" applyFont="1" applyFill="1" applyBorder="1" applyAlignment="1">
      <alignment horizontal="center" vertical="center"/>
    </xf>
    <xf numFmtId="1" fontId="18" fillId="4" borderId="2" xfId="0" applyNumberFormat="1" applyFont="1" applyFill="1" applyBorder="1" applyAlignment="1">
      <alignment horizontal="center" vertical="center"/>
    </xf>
    <xf numFmtId="0" fontId="19" fillId="0" borderId="2" xfId="0" applyFont="1" applyBorder="1" applyAlignment="1">
      <alignment horizontal="left" vertical="center" wrapText="1"/>
    </xf>
    <xf numFmtId="0" fontId="16" fillId="10" borderId="1" xfId="0" applyFont="1" applyFill="1" applyBorder="1" applyAlignment="1">
      <alignment horizontal="center" vertical="center"/>
    </xf>
    <xf numFmtId="0" fontId="11" fillId="0" borderId="2" xfId="0" applyFont="1" applyBorder="1" applyAlignment="1">
      <alignment horizontal="left" vertical="center"/>
    </xf>
    <xf numFmtId="2" fontId="9" fillId="9" borderId="2" xfId="0" applyNumberFormat="1" applyFont="1" applyFill="1" applyBorder="1" applyAlignment="1">
      <alignment horizontal="center" vertical="center"/>
    </xf>
    <xf numFmtId="2" fontId="9" fillId="7" borderId="2" xfId="0" applyNumberFormat="1" applyFont="1" applyFill="1" applyBorder="1" applyAlignment="1">
      <alignment horizontal="center" vertical="center"/>
    </xf>
    <xf numFmtId="0" fontId="12" fillId="0" borderId="2" xfId="0" applyFont="1" applyBorder="1" applyAlignment="1">
      <alignment horizontal="left" vertical="center"/>
    </xf>
    <xf numFmtId="2" fontId="20" fillId="11" borderId="1" xfId="0" applyNumberFormat="1" applyFont="1" applyFill="1" applyBorder="1" applyAlignment="1">
      <alignment horizontal="center" vertical="center"/>
    </xf>
    <xf numFmtId="0" fontId="22" fillId="12" borderId="2" xfId="0" applyFont="1" applyFill="1" applyBorder="1" applyAlignment="1">
      <alignment horizontal="left" vertical="center"/>
    </xf>
    <xf numFmtId="0" fontId="5" fillId="0" borderId="2" xfId="0" applyFont="1" applyBorder="1" applyAlignment="1">
      <alignment horizontal="left" vertical="top" wrapText="1"/>
    </xf>
    <xf numFmtId="0" fontId="23" fillId="0" borderId="2" xfId="0" applyFont="1" applyBorder="1" applyAlignment="1">
      <alignment horizontal="left" vertical="top" wrapText="1"/>
    </xf>
    <xf numFmtId="0" fontId="4" fillId="3" borderId="2" xfId="0" applyFont="1" applyFill="1" applyBorder="1" applyAlignment="1">
      <alignment horizontal="left"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10" fillId="7" borderId="2" xfId="0" applyFont="1" applyFill="1" applyBorder="1" applyAlignment="1">
      <alignment horizontal="left" vertical="center"/>
    </xf>
    <xf numFmtId="0" fontId="1" fillId="6" borderId="0" xfId="0" applyFont="1" applyFill="1" applyAlignment="1">
      <alignment horizontal="center" vertical="center"/>
    </xf>
    <xf numFmtId="0" fontId="13" fillId="10" borderId="0" xfId="0" applyFont="1" applyFill="1" applyAlignment="1">
      <alignment horizontal="center" vertical="center"/>
    </xf>
    <xf numFmtId="0" fontId="14" fillId="11" borderId="2" xfId="0" applyFont="1" applyFill="1" applyBorder="1" applyAlignment="1">
      <alignment horizontal="left" vertical="center"/>
    </xf>
    <xf numFmtId="0" fontId="15" fillId="6" borderId="0" xfId="0" applyFont="1" applyFill="1" applyAlignment="1">
      <alignment horizontal="center" vertical="center"/>
    </xf>
    <xf numFmtId="0" fontId="15" fillId="10" borderId="0" xfId="0" applyFont="1" applyFill="1" applyAlignment="1">
      <alignment horizontal="center" vertical="center"/>
    </xf>
    <xf numFmtId="0" fontId="21" fillId="5" borderId="2" xfId="0" applyFont="1" applyFill="1" applyBorder="1" applyAlignment="1">
      <alignment horizontal="left" vertical="center" wrapText="1"/>
    </xf>
    <xf numFmtId="0" fontId="1" fillId="10" borderId="0" xfId="0" applyFont="1" applyFill="1" applyAlignment="1">
      <alignment horizontal="center" vertical="center"/>
    </xf>
    <xf numFmtId="0" fontId="17" fillId="11" borderId="0" xfId="0" applyFont="1" applyFill="1" applyAlignment="1">
      <alignment horizontal="center" vertical="center" wrapText="1"/>
    </xf>
    <xf numFmtId="0" fontId="1" fillId="13"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54F0B"/>
      <rgbColor rgb="FF800080"/>
      <rgbColor rgb="FF0F6E56"/>
      <rgbColor rgb="FFCCCCCC"/>
      <rgbColor rgb="FF888780"/>
      <rgbColor rgb="FF9BBB59"/>
      <rgbColor rgb="FFBE4B48"/>
      <rgbColor rgb="FFFAEEDA"/>
      <rgbColor rgb="FFE1F5E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EF4FF"/>
      <rgbColor rgb="FFEAF3DE"/>
      <rgbColor rgb="FFFAECE7"/>
      <rgbColor rgb="FFEEEDFE"/>
      <rgbColor rgb="FFF9F9F9"/>
      <rgbColor rgb="FFCC99FF"/>
      <rgbColor rgb="FFF1EFE8"/>
      <rgbColor rgb="FF4A7EBB"/>
      <rgbColor rgb="FF33CCCC"/>
      <rgbColor rgb="FF98B855"/>
      <rgbColor rgb="FFFFCC00"/>
      <rgbColor rgb="FFFF9900"/>
      <rgbColor rgb="FFFF6600"/>
      <rgbColor rgb="FF534AB7"/>
      <rgbColor rgb="FF878787"/>
      <rgbColor rgb="FF003366"/>
      <rgbColor rgb="FF4F81BD"/>
      <rgbColor rgb="FF003300"/>
      <rgbColor rgb="FF333300"/>
      <rgbColor rgb="FF993C1D"/>
      <rgbColor rgb="FFC0504D"/>
      <rgbColor rgb="FF333399"/>
      <rgbColor rgb="FF44444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Indoor PM2.5 Concentration vs. Distance from Source</a:t>
            </a:r>
          </a:p>
        </c:rich>
      </c:tx>
      <c:overlay val="0"/>
      <c:spPr>
        <a:noFill/>
        <a:ln w="0">
          <a:noFill/>
        </a:ln>
      </c:spPr>
    </c:title>
    <c:autoTitleDeleted val="0"/>
    <c:plotArea>
      <c:layout/>
      <c:lineChart>
        <c:grouping val="standard"/>
        <c:varyColors val="0"/>
        <c:ser>
          <c:idx val="0"/>
          <c:order val="0"/>
          <c:tx>
            <c:strRef>
              <c:f>'3_Results'!$D$19</c:f>
              <c:strCache>
                <c:ptCount val="1"/>
                <c:pt idx="0">
                  <c:v>C_in Baseline (µg/m³)</c:v>
                </c:pt>
              </c:strCache>
            </c:strRef>
          </c:tx>
          <c:spPr>
            <a:ln w="47520">
              <a:solidFill>
                <a:srgbClr val="4A7EBB"/>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'3_Results'!$B$20:$B$27</c:f>
              <c:numCache>
                <c:formatCode>0</c:formatCode>
                <c:ptCount val="8"/>
                <c:pt idx="0">
                  <c:v>100</c:v>
                </c:pt>
                <c:pt idx="1">
                  <c:v>200</c:v>
                </c:pt>
                <c:pt idx="2">
                  <c:v>300</c:v>
                </c:pt>
                <c:pt idx="3">
                  <c:v>500</c:v>
                </c:pt>
                <c:pt idx="4">
                  <c:v>750</c:v>
                </c:pt>
                <c:pt idx="5">
                  <c:v>1000</c:v>
                </c:pt>
                <c:pt idx="6">
                  <c:v>1500</c:v>
                </c:pt>
                <c:pt idx="7">
                  <c:v>2000</c:v>
                </c:pt>
              </c:numCache>
            </c:numRef>
          </c:cat>
          <c:val>
            <c:numRef>
              <c:f>'3_Results'!$D$20:$D$27</c:f>
              <c:numCache>
                <c:formatCode>0.00</c:formatCode>
                <c:ptCount val="8"/>
                <c:pt idx="0">
                  <c:v>2837.9943078807087</c:v>
                </c:pt>
                <c:pt idx="1">
                  <c:v>2596.5511722153688</c:v>
                </c:pt>
                <c:pt idx="2">
                  <c:v>1659.8637871991036</c:v>
                </c:pt>
                <c:pt idx="3">
                  <c:v>797.72114671414727</c:v>
                </c:pt>
                <c:pt idx="4">
                  <c:v>417.68449812875269</c:v>
                </c:pt>
                <c:pt idx="5">
                  <c:v>259.24315067742378</c:v>
                </c:pt>
                <c:pt idx="6">
                  <c:v>130.53917074318323</c:v>
                </c:pt>
                <c:pt idx="7">
                  <c:v>79.767232486753585</c:v>
                </c:pt>
              </c:numCache>
            </c:numRef>
          </c:val>
          <c:smooth val="1"/>
          <c:extLst>
            <c:ext xmlns:c16="http://schemas.microsoft.com/office/drawing/2014/chart" uri="{C3380CC4-5D6E-409C-BE32-E72D297353CC}">
              <c16:uniqueId val="{00000000-F35B-C940-BFE7-BB079BE4E2EA}"/>
            </c:ext>
          </c:extLst>
        </c:ser>
        <c:ser>
          <c:idx val="1"/>
          <c:order val="1"/>
          <c:tx>
            <c:strRef>
              <c:f>'3_Results'!$E$19</c:f>
              <c:strCache>
                <c:ptCount val="1"/>
                <c:pt idx="0">
                  <c:v>C_in Alt A (µg/m³)</c:v>
                </c:pt>
              </c:strCache>
            </c:strRef>
          </c:tx>
          <c:spPr>
            <a:ln w="47520">
              <a:solidFill>
                <a:srgbClr val="BE4B48"/>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'3_Results'!$B$20:$B$27</c:f>
              <c:numCache>
                <c:formatCode>0</c:formatCode>
                <c:ptCount val="8"/>
                <c:pt idx="0">
                  <c:v>100</c:v>
                </c:pt>
                <c:pt idx="1">
                  <c:v>200</c:v>
                </c:pt>
                <c:pt idx="2">
                  <c:v>300</c:v>
                </c:pt>
                <c:pt idx="3">
                  <c:v>500</c:v>
                </c:pt>
                <c:pt idx="4">
                  <c:v>750</c:v>
                </c:pt>
                <c:pt idx="5">
                  <c:v>1000</c:v>
                </c:pt>
                <c:pt idx="6">
                  <c:v>1500</c:v>
                </c:pt>
                <c:pt idx="7">
                  <c:v>2000</c:v>
                </c:pt>
              </c:numCache>
            </c:numRef>
          </c:cat>
          <c:val>
            <c:numRef>
              <c:f>'3_Results'!$E$20:$E$27</c:f>
              <c:numCache>
                <c:formatCode>0.00</c:formatCode>
                <c:ptCount val="8"/>
                <c:pt idx="0">
                  <c:v>2128.4957309105316</c:v>
                </c:pt>
                <c:pt idx="1">
                  <c:v>1947.4133791615266</c:v>
                </c:pt>
                <c:pt idx="2">
                  <c:v>1244.8978403993278</c:v>
                </c:pt>
                <c:pt idx="3">
                  <c:v>598.29086003561042</c:v>
                </c:pt>
                <c:pt idx="4">
                  <c:v>313.26337359656452</c:v>
                </c:pt>
                <c:pt idx="5">
                  <c:v>194.43236300806785</c:v>
                </c:pt>
                <c:pt idx="6">
                  <c:v>97.904378057387419</c:v>
                </c:pt>
                <c:pt idx="7">
                  <c:v>59.825424365065189</c:v>
                </c:pt>
              </c:numCache>
            </c:numRef>
          </c:val>
          <c:smooth val="1"/>
          <c:extLst>
            <c:ext xmlns:c16="http://schemas.microsoft.com/office/drawing/2014/chart" uri="{C3380CC4-5D6E-409C-BE32-E72D297353CC}">
              <c16:uniqueId val="{00000001-F35B-C940-BFE7-BB079BE4E2EA}"/>
            </c:ext>
          </c:extLst>
        </c:ser>
        <c:ser>
          <c:idx val="2"/>
          <c:order val="2"/>
          <c:tx>
            <c:strRef>
              <c:f>'3_Results'!$F$19</c:f>
              <c:strCache>
                <c:ptCount val="1"/>
                <c:pt idx="0">
                  <c:v>C_in Alt B (µg/m³)</c:v>
                </c:pt>
              </c:strCache>
            </c:strRef>
          </c:tx>
          <c:spPr>
            <a:ln w="47520">
              <a:solidFill>
                <a:srgbClr val="98B855"/>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'3_Results'!$B$20:$B$27</c:f>
              <c:numCache>
                <c:formatCode>0</c:formatCode>
                <c:ptCount val="8"/>
                <c:pt idx="0">
                  <c:v>100</c:v>
                </c:pt>
                <c:pt idx="1">
                  <c:v>200</c:v>
                </c:pt>
                <c:pt idx="2">
                  <c:v>300</c:v>
                </c:pt>
                <c:pt idx="3">
                  <c:v>500</c:v>
                </c:pt>
                <c:pt idx="4">
                  <c:v>750</c:v>
                </c:pt>
                <c:pt idx="5">
                  <c:v>1000</c:v>
                </c:pt>
                <c:pt idx="6">
                  <c:v>1500</c:v>
                </c:pt>
                <c:pt idx="7">
                  <c:v>2000</c:v>
                </c:pt>
              </c:numCache>
            </c:numRef>
          </c:cat>
          <c:val>
            <c:numRef>
              <c:f>'3_Results'!$F$20:$F$27</c:f>
              <c:numCache>
                <c:formatCode>0.00</c:formatCode>
                <c:ptCount val="8"/>
                <c:pt idx="0">
                  <c:v>1150.5382329246117</c:v>
                </c:pt>
                <c:pt idx="1">
                  <c:v>1052.6558806278524</c:v>
                </c:pt>
                <c:pt idx="2">
                  <c:v>672.91775156720428</c:v>
                </c:pt>
                <c:pt idx="3">
                  <c:v>323.40046488411383</c:v>
                </c:pt>
                <c:pt idx="4">
                  <c:v>169.3315532954403</c:v>
                </c:pt>
                <c:pt idx="5">
                  <c:v>105.09857459895561</c:v>
                </c:pt>
                <c:pt idx="6">
                  <c:v>52.921285436425649</c:v>
                </c:pt>
                <c:pt idx="7">
                  <c:v>32.33806722435957</c:v>
                </c:pt>
              </c:numCache>
            </c:numRef>
          </c:val>
          <c:smooth val="1"/>
          <c:extLst>
            <c:ext xmlns:c16="http://schemas.microsoft.com/office/drawing/2014/chart" uri="{C3380CC4-5D6E-409C-BE32-E72D297353CC}">
              <c16:uniqueId val="{00000002-F35B-C940-BFE7-BB079BE4E2EA}"/>
            </c:ext>
          </c:extLst>
        </c:ser>
        <c:dLbls>
          <c:showLegendKey val="0"/>
          <c:showVal val="0"/>
          <c:showCatName val="0"/>
          <c:showSerName val="0"/>
          <c:showPercent val="0"/>
          <c:showBubbleSize val="0"/>
        </c:dLbls>
        <c:hiLowLines>
          <c:spPr>
            <a:ln w="0">
              <a:noFill/>
            </a:ln>
          </c:spPr>
        </c:hiLowLines>
        <c:smooth val="0"/>
        <c:axId val="73279948"/>
        <c:axId val="1959627"/>
      </c:lineChart>
      <c:catAx>
        <c:axId val="73279948"/>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Distance (m)</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59627"/>
        <c:crosses val="autoZero"/>
        <c:auto val="1"/>
        <c:lblAlgn val="ctr"/>
        <c:lblOffset val="100"/>
        <c:noMultiLvlLbl val="0"/>
      </c:catAx>
      <c:valAx>
        <c:axId val="195962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C_in (µg/m³)</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327994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Daily Occupant Dose by Alternative (µg/day)</a:t>
            </a:r>
          </a:p>
        </c:rich>
      </c:tx>
      <c:overlay val="0"/>
      <c:spPr>
        <a:noFill/>
        <a:ln w="0">
          <a:noFill/>
        </a:ln>
      </c:spPr>
    </c:title>
    <c:autoTitleDeleted val="0"/>
    <c:plotArea>
      <c:layout/>
      <c:barChart>
        <c:barDir val="col"/>
        <c:grouping val="clustered"/>
        <c:varyColors val="0"/>
        <c:ser>
          <c:idx val="0"/>
          <c:order val="0"/>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'3_Results'!$C$6</c:f>
              <c:numCache>
                <c:formatCode>0.00</c:formatCode>
                <c:ptCount val="1"/>
                <c:pt idx="0">
                  <c:v>797.72114671414704</c:v>
                </c:pt>
              </c:numCache>
            </c:numRef>
          </c:val>
          <c:extLst>
            <c:ext xmlns:c16="http://schemas.microsoft.com/office/drawing/2014/chart" uri="{C3380CC4-5D6E-409C-BE32-E72D297353CC}">
              <c16:uniqueId val="{00000000-BB6C-FD4A-AD11-606504C0864E}"/>
            </c:ext>
          </c:extLst>
        </c:ser>
        <c:ser>
          <c:idx val="1"/>
          <c:order val="1"/>
          <c:spPr>
            <a:solidFill>
              <a:srgbClr val="C0504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'3_Results'!$D$6</c:f>
              <c:numCache>
                <c:formatCode>0.00</c:formatCode>
                <c:ptCount val="1"/>
                <c:pt idx="0">
                  <c:v>598.29086003561031</c:v>
                </c:pt>
              </c:numCache>
            </c:numRef>
          </c:val>
          <c:extLst>
            <c:ext xmlns:c16="http://schemas.microsoft.com/office/drawing/2014/chart" uri="{C3380CC4-5D6E-409C-BE32-E72D297353CC}">
              <c16:uniqueId val="{00000001-BB6C-FD4A-AD11-606504C0864E}"/>
            </c:ext>
          </c:extLst>
        </c:ser>
        <c:ser>
          <c:idx val="2"/>
          <c:order val="2"/>
          <c:spPr>
            <a:solidFill>
              <a:srgbClr val="9BBB59"/>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'3_Results'!$E$6</c:f>
              <c:numCache>
                <c:formatCode>0.00</c:formatCode>
                <c:ptCount val="1"/>
                <c:pt idx="0">
                  <c:v>323.40046488411372</c:v>
                </c:pt>
              </c:numCache>
            </c:numRef>
          </c:val>
          <c:extLst>
            <c:ext xmlns:c16="http://schemas.microsoft.com/office/drawing/2014/chart" uri="{C3380CC4-5D6E-409C-BE32-E72D297353CC}">
              <c16:uniqueId val="{00000002-BB6C-FD4A-AD11-606504C0864E}"/>
            </c:ext>
          </c:extLst>
        </c:ser>
        <c:dLbls>
          <c:showLegendKey val="0"/>
          <c:showVal val="0"/>
          <c:showCatName val="0"/>
          <c:showSerName val="0"/>
          <c:showPercent val="0"/>
          <c:showBubbleSize val="0"/>
        </c:dLbls>
        <c:gapWidth val="150"/>
        <c:axId val="80800989"/>
        <c:axId val="43622853"/>
      </c:barChart>
      <c:catAx>
        <c:axId val="8080098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622853"/>
        <c:crosses val="autoZero"/>
        <c:auto val="1"/>
        <c:lblAlgn val="ctr"/>
        <c:lblOffset val="100"/>
        <c:noMultiLvlLbl val="0"/>
      </c:catAx>
      <c:valAx>
        <c:axId val="4362285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Dose (µg/day)</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80098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5</xdr:col>
      <xdr:colOff>852520</xdr:colOff>
      <xdr:row>50</xdr:row>
      <xdr:rowOff>127440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1016000</xdr:colOff>
      <xdr:row>52</xdr:row>
      <xdr:rowOff>0</xdr:rowOff>
    </xdr:from>
    <xdr:to>
      <xdr:col>4</xdr:col>
      <xdr:colOff>550680</xdr:colOff>
      <xdr:row>70</xdr:row>
      <xdr:rowOff>169560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
  <sheetViews>
    <sheetView showGridLines="0" tabSelected="1" zoomScaleNormal="100" workbookViewId="0">
      <selection activeCell="F10" sqref="F10"/>
    </sheetView>
  </sheetViews>
  <sheetFormatPr defaultColWidth="8.7109375" defaultRowHeight="15"/>
  <cols>
    <col min="1" max="1" width="5" customWidth="1"/>
    <col min="2" max="2" width="32.42578125" bestFit="1" customWidth="1"/>
    <col min="3" max="3" width="19.28515625" customWidth="1"/>
    <col min="4" max="4" width="20" customWidth="1"/>
    <col min="5" max="5" width="24.42578125" customWidth="1"/>
    <col min="6" max="6" width="32" customWidth="1"/>
  </cols>
  <sheetData>
    <row r="1" spans="1:6" ht="36" customHeight="1">
      <c r="A1" s="57" t="s">
        <v>0</v>
      </c>
      <c r="B1" s="57"/>
      <c r="C1" s="57"/>
      <c r="D1" s="57"/>
      <c r="E1" s="57"/>
      <c r="F1" s="57"/>
    </row>
    <row r="2" spans="1:6" ht="19.5" customHeight="1" thickBot="1">
      <c r="A2" s="58" t="s">
        <v>1</v>
      </c>
      <c r="B2" s="58"/>
      <c r="C2" s="58"/>
      <c r="D2" s="58"/>
      <c r="E2" s="58"/>
      <c r="F2" s="58"/>
    </row>
    <row r="3" spans="1:6" ht="15" customHeight="1" thickBot="1">
      <c r="A3" s="2"/>
      <c r="B3" s="2" t="s">
        <v>2</v>
      </c>
      <c r="C3" s="2" t="s">
        <v>3</v>
      </c>
      <c r="D3" s="2" t="s">
        <v>4</v>
      </c>
      <c r="E3" s="2" t="s">
        <v>5</v>
      </c>
      <c r="F3" s="2" t="s">
        <v>6</v>
      </c>
    </row>
    <row r="4" spans="1:6" ht="15" customHeight="1">
      <c r="B4" s="56" t="s">
        <v>7</v>
      </c>
      <c r="C4" s="56"/>
      <c r="D4" s="56"/>
      <c r="E4" s="56"/>
      <c r="F4" s="56"/>
    </row>
    <row r="5" spans="1:6" ht="18" customHeight="1">
      <c r="B5" s="3" t="s">
        <v>8</v>
      </c>
      <c r="C5" s="4" t="s">
        <v>9</v>
      </c>
      <c r="D5" s="5" t="s">
        <v>10</v>
      </c>
      <c r="E5" s="5" t="s">
        <v>11</v>
      </c>
      <c r="F5" s="5" t="s">
        <v>12</v>
      </c>
    </row>
    <row r="6" spans="1:6" ht="18" customHeight="1">
      <c r="B6" s="3" t="s">
        <v>13</v>
      </c>
      <c r="C6" s="4" t="s">
        <v>14</v>
      </c>
      <c r="D6" s="5" t="s">
        <v>15</v>
      </c>
      <c r="E6" s="5" t="s">
        <v>16</v>
      </c>
      <c r="F6" s="5" t="s">
        <v>17</v>
      </c>
    </row>
    <row r="7" spans="1:6" ht="18" customHeight="1">
      <c r="B7" s="3" t="s">
        <v>18</v>
      </c>
      <c r="C7" s="4" t="s">
        <v>19</v>
      </c>
      <c r="D7" s="5" t="s">
        <v>20</v>
      </c>
      <c r="E7" s="5" t="s">
        <v>16</v>
      </c>
      <c r="F7" s="5" t="s">
        <v>21</v>
      </c>
    </row>
    <row r="8" spans="1:6" ht="18" customHeight="1">
      <c r="B8" s="3" t="s">
        <v>22</v>
      </c>
      <c r="C8" s="4" t="s">
        <v>23</v>
      </c>
      <c r="D8" s="5" t="s">
        <v>15</v>
      </c>
      <c r="E8" s="5" t="s">
        <v>16</v>
      </c>
      <c r="F8" s="5" t="s">
        <v>24</v>
      </c>
    </row>
    <row r="9" spans="1:6" ht="15" customHeight="1">
      <c r="B9" s="56" t="s">
        <v>25</v>
      </c>
      <c r="C9" s="56"/>
      <c r="D9" s="56"/>
      <c r="E9" s="56"/>
      <c r="F9" s="56"/>
    </row>
    <row r="10" spans="1:6" ht="18" customHeight="1">
      <c r="B10" s="3" t="s">
        <v>26</v>
      </c>
      <c r="C10" s="4" t="s">
        <v>27</v>
      </c>
      <c r="D10" s="5" t="s">
        <v>20</v>
      </c>
      <c r="E10" s="5" t="s">
        <v>28</v>
      </c>
      <c r="F10" s="5" t="s">
        <v>29</v>
      </c>
    </row>
    <row r="11" spans="1:6" ht="18" customHeight="1">
      <c r="B11" s="3" t="s">
        <v>30</v>
      </c>
      <c r="C11" s="4" t="s">
        <v>31</v>
      </c>
      <c r="D11" s="5" t="s">
        <v>32</v>
      </c>
      <c r="E11" s="5" t="s">
        <v>33</v>
      </c>
      <c r="F11" s="5" t="s">
        <v>34</v>
      </c>
    </row>
    <row r="12" spans="1:6" ht="18" customHeight="1">
      <c r="B12" s="3" t="s">
        <v>35</v>
      </c>
      <c r="C12" s="4" t="s">
        <v>36</v>
      </c>
      <c r="D12" s="5" t="s">
        <v>37</v>
      </c>
      <c r="E12" s="5" t="s">
        <v>38</v>
      </c>
      <c r="F12" s="5" t="s">
        <v>39</v>
      </c>
    </row>
    <row r="13" spans="1:6" ht="15" customHeight="1">
      <c r="B13" s="56" t="s">
        <v>40</v>
      </c>
      <c r="C13" s="56"/>
      <c r="D13" s="56"/>
      <c r="E13" s="56"/>
      <c r="F13" s="56"/>
    </row>
    <row r="14" spans="1:6" ht="18" customHeight="1">
      <c r="B14" s="3" t="s">
        <v>41</v>
      </c>
      <c r="C14" s="4" t="s">
        <v>42</v>
      </c>
      <c r="D14" s="5" t="s">
        <v>15</v>
      </c>
      <c r="E14" s="5" t="s">
        <v>43</v>
      </c>
      <c r="F14" s="5" t="s">
        <v>44</v>
      </c>
    </row>
    <row r="15" spans="1:6" ht="18" customHeight="1">
      <c r="B15" s="3" t="s">
        <v>45</v>
      </c>
      <c r="C15" s="4" t="s">
        <v>23</v>
      </c>
      <c r="D15" s="5" t="s">
        <v>15</v>
      </c>
      <c r="E15" s="5" t="s">
        <v>46</v>
      </c>
      <c r="F15" s="5" t="s">
        <v>47</v>
      </c>
    </row>
    <row r="16" spans="1:6" ht="18" customHeight="1">
      <c r="B16" s="3" t="s">
        <v>48</v>
      </c>
      <c r="C16" s="4" t="s">
        <v>49</v>
      </c>
      <c r="D16" s="5" t="s">
        <v>15</v>
      </c>
      <c r="E16" s="5" t="s">
        <v>50</v>
      </c>
      <c r="F16" s="5" t="s">
        <v>51</v>
      </c>
    </row>
    <row r="17" spans="2:6" ht="15" customHeight="1">
      <c r="B17" s="56" t="s">
        <v>52</v>
      </c>
      <c r="C17" s="56"/>
      <c r="D17" s="56"/>
      <c r="E17" s="56"/>
      <c r="F17" s="56"/>
    </row>
    <row r="18" spans="2:6" ht="18" customHeight="1">
      <c r="B18" s="3" t="s">
        <v>53</v>
      </c>
      <c r="C18" s="4" t="s">
        <v>54</v>
      </c>
      <c r="D18" s="5" t="s">
        <v>15</v>
      </c>
      <c r="E18" s="5" t="s">
        <v>55</v>
      </c>
      <c r="F18" s="5" t="s">
        <v>56</v>
      </c>
    </row>
    <row r="19" spans="2:6" ht="18" customHeight="1">
      <c r="B19" s="3" t="s">
        <v>57</v>
      </c>
      <c r="C19" s="4" t="s">
        <v>58</v>
      </c>
      <c r="D19" s="5" t="s">
        <v>59</v>
      </c>
      <c r="E19" s="5" t="s">
        <v>60</v>
      </c>
      <c r="F19" s="5" t="s">
        <v>61</v>
      </c>
    </row>
    <row r="20" spans="2:6" ht="18" customHeight="1">
      <c r="B20" s="3" t="s">
        <v>62</v>
      </c>
      <c r="C20" s="4" t="s">
        <v>63</v>
      </c>
      <c r="D20" s="5" t="s">
        <v>64</v>
      </c>
      <c r="E20" s="5" t="s">
        <v>65</v>
      </c>
      <c r="F20" s="5" t="s">
        <v>66</v>
      </c>
    </row>
    <row r="21" spans="2:6" ht="18" customHeight="1">
      <c r="B21" s="3" t="s">
        <v>67</v>
      </c>
      <c r="C21" s="4" t="s">
        <v>68</v>
      </c>
      <c r="D21" s="5" t="s">
        <v>69</v>
      </c>
      <c r="E21" s="5" t="s">
        <v>65</v>
      </c>
      <c r="F21" s="5" t="s">
        <v>70</v>
      </c>
    </row>
    <row r="22" spans="2:6" ht="15" customHeight="1">
      <c r="B22" s="56" t="s">
        <v>71</v>
      </c>
      <c r="C22" s="56"/>
      <c r="D22" s="56"/>
      <c r="E22" s="56"/>
      <c r="F22" s="56"/>
    </row>
    <row r="23" spans="2:6" ht="18" customHeight="1">
      <c r="B23" s="3" t="s">
        <v>72</v>
      </c>
      <c r="C23" s="4" t="s">
        <v>73</v>
      </c>
      <c r="D23" s="5" t="s">
        <v>74</v>
      </c>
      <c r="E23" s="5" t="s">
        <v>75</v>
      </c>
      <c r="F23" s="5" t="s">
        <v>76</v>
      </c>
    </row>
    <row r="24" spans="2:6" ht="18" customHeight="1">
      <c r="B24" s="3" t="s">
        <v>77</v>
      </c>
      <c r="C24" s="4" t="s">
        <v>78</v>
      </c>
      <c r="D24" s="5" t="s">
        <v>59</v>
      </c>
      <c r="E24" s="5" t="s">
        <v>79</v>
      </c>
      <c r="F24" s="5" t="s">
        <v>80</v>
      </c>
    </row>
    <row r="25" spans="2:6" ht="18" customHeight="1">
      <c r="B25" s="3" t="s">
        <v>81</v>
      </c>
      <c r="C25" s="4" t="s">
        <v>82</v>
      </c>
      <c r="D25" s="5" t="s">
        <v>83</v>
      </c>
      <c r="E25" s="5" t="s">
        <v>79</v>
      </c>
      <c r="F25" s="5" t="s">
        <v>84</v>
      </c>
    </row>
    <row r="26" spans="2:6" ht="18" customHeight="1">
      <c r="B26" s="3" t="s">
        <v>85</v>
      </c>
      <c r="C26" s="4" t="s">
        <v>86</v>
      </c>
      <c r="D26" s="5" t="s">
        <v>83</v>
      </c>
      <c r="E26" s="5" t="s">
        <v>87</v>
      </c>
      <c r="F26" s="5" t="s">
        <v>88</v>
      </c>
    </row>
    <row r="27" spans="2:6" ht="18" customHeight="1">
      <c r="B27" s="3" t="s">
        <v>89</v>
      </c>
      <c r="C27" s="4" t="s">
        <v>90</v>
      </c>
      <c r="D27" s="5" t="s">
        <v>91</v>
      </c>
      <c r="E27" s="5" t="s">
        <v>92</v>
      </c>
      <c r="F27" s="5" t="s">
        <v>93</v>
      </c>
    </row>
    <row r="28" spans="2:6" ht="18" customHeight="1">
      <c r="B28" s="3" t="s">
        <v>94</v>
      </c>
      <c r="C28" s="4" t="s">
        <v>73</v>
      </c>
      <c r="D28" s="5" t="s">
        <v>95</v>
      </c>
      <c r="E28" s="5" t="s">
        <v>96</v>
      </c>
      <c r="F28" s="5" t="s">
        <v>97</v>
      </c>
    </row>
    <row r="29" spans="2:6" ht="18" customHeight="1">
      <c r="B29" s="3" t="s">
        <v>98</v>
      </c>
      <c r="C29" s="4" t="s">
        <v>99</v>
      </c>
      <c r="D29" s="5" t="s">
        <v>100</v>
      </c>
      <c r="E29" s="5" t="s">
        <v>101</v>
      </c>
      <c r="F29" s="5" t="s">
        <v>102</v>
      </c>
    </row>
    <row r="30" spans="2:6" ht="15" customHeight="1">
      <c r="B30" s="56" t="s">
        <v>103</v>
      </c>
      <c r="C30" s="56"/>
      <c r="D30" s="56"/>
      <c r="E30" s="56"/>
      <c r="F30" s="56"/>
    </row>
    <row r="31" spans="2:6" ht="18" customHeight="1">
      <c r="B31" s="3" t="s">
        <v>104</v>
      </c>
      <c r="C31" s="4" t="s">
        <v>105</v>
      </c>
      <c r="D31" s="5" t="s">
        <v>59</v>
      </c>
      <c r="E31" s="5" t="s">
        <v>106</v>
      </c>
      <c r="F31" s="5" t="s">
        <v>107</v>
      </c>
    </row>
    <row r="32" spans="2:6" ht="18" customHeight="1">
      <c r="B32" s="3" t="s">
        <v>108</v>
      </c>
      <c r="C32" s="4" t="s">
        <v>58</v>
      </c>
      <c r="D32" s="5" t="s">
        <v>59</v>
      </c>
      <c r="E32" s="5" t="s">
        <v>106</v>
      </c>
      <c r="F32" s="5"/>
    </row>
    <row r="33" spans="2:6" ht="18" customHeight="1">
      <c r="B33" s="3" t="s">
        <v>109</v>
      </c>
      <c r="C33" s="4" t="s">
        <v>58</v>
      </c>
      <c r="D33" s="5" t="s">
        <v>59</v>
      </c>
      <c r="E33" s="5" t="s">
        <v>106</v>
      </c>
      <c r="F33" s="5"/>
    </row>
    <row r="34" spans="2:6" ht="18" customHeight="1">
      <c r="B34" s="3" t="s">
        <v>110</v>
      </c>
      <c r="C34" s="4" t="s">
        <v>86</v>
      </c>
      <c r="D34" s="5" t="s">
        <v>59</v>
      </c>
      <c r="E34" s="5" t="s">
        <v>106</v>
      </c>
      <c r="F34" s="5"/>
    </row>
    <row r="35" spans="2:6" ht="15" customHeight="1">
      <c r="B35" s="6" t="s">
        <v>111</v>
      </c>
      <c r="C35" s="7">
        <f>C31+C32+C33+C34</f>
        <v>1</v>
      </c>
      <c r="D35" s="8"/>
      <c r="E35" s="8"/>
      <c r="F35" s="8"/>
    </row>
  </sheetData>
  <mergeCells count="8">
    <mergeCell ref="B17:F17"/>
    <mergeCell ref="B22:F22"/>
    <mergeCell ref="B30:F30"/>
    <mergeCell ref="A1:F1"/>
    <mergeCell ref="A2:F2"/>
    <mergeCell ref="B4:F4"/>
    <mergeCell ref="B9:F9"/>
    <mergeCell ref="B13:F1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8"/>
  <sheetViews>
    <sheetView showGridLines="0" zoomScaleNormal="100" workbookViewId="0">
      <selection sqref="A1:F1"/>
    </sheetView>
  </sheetViews>
  <sheetFormatPr defaultColWidth="8.7109375" defaultRowHeight="15"/>
  <cols>
    <col min="1" max="1" width="5" customWidth="1"/>
    <col min="2" max="2" width="34.42578125" customWidth="1"/>
    <col min="3" max="5" width="22" customWidth="1"/>
    <col min="6" max="6" width="45.140625" bestFit="1" customWidth="1"/>
  </cols>
  <sheetData>
    <row r="1" spans="1:6" ht="36" customHeight="1">
      <c r="A1" s="60" t="s">
        <v>112</v>
      </c>
      <c r="B1" s="60"/>
      <c r="C1" s="60"/>
      <c r="D1" s="60"/>
      <c r="E1" s="60"/>
      <c r="F1" s="60"/>
    </row>
    <row r="2" spans="1:6" ht="15" customHeight="1">
      <c r="A2" s="9"/>
      <c r="B2" s="9" t="s">
        <v>113</v>
      </c>
      <c r="C2" s="9" t="s">
        <v>114</v>
      </c>
      <c r="D2" s="9" t="s">
        <v>115</v>
      </c>
      <c r="E2" s="9" t="s">
        <v>116</v>
      </c>
      <c r="F2" s="9" t="s">
        <v>117</v>
      </c>
    </row>
    <row r="3" spans="1:6" ht="18" customHeight="1">
      <c r="B3" s="59" t="s">
        <v>118</v>
      </c>
      <c r="C3" s="59"/>
      <c r="D3" s="59"/>
      <c r="E3" s="59"/>
      <c r="F3" s="59"/>
    </row>
    <row r="4" spans="1:6" ht="18" customHeight="1">
      <c r="B4" s="10" t="s">
        <v>119</v>
      </c>
      <c r="C4" s="11" t="str">
        <f>'1_Inputs'!C11</f>
        <v>3</v>
      </c>
      <c r="D4" s="12" t="str">
        <f>'1_Inputs'!C11</f>
        <v>3</v>
      </c>
      <c r="E4" s="13" t="str">
        <f>'1_Inputs'!C11</f>
        <v>3</v>
      </c>
      <c r="F4" s="14" t="s">
        <v>120</v>
      </c>
    </row>
    <row r="5" spans="1:6" ht="18" customHeight="1">
      <c r="B5" s="3" t="s">
        <v>121</v>
      </c>
      <c r="C5" s="15" t="str">
        <f>'1_Inputs'!C10</f>
        <v>3.5</v>
      </c>
      <c r="D5" s="16" t="str">
        <f>'1_Inputs'!C10</f>
        <v>3.5</v>
      </c>
      <c r="E5" s="17" t="str">
        <f>'1_Inputs'!C10</f>
        <v>3.5</v>
      </c>
      <c r="F5" s="14" t="s">
        <v>122</v>
      </c>
    </row>
    <row r="6" spans="1:6" ht="18" customHeight="1">
      <c r="B6" s="3" t="s">
        <v>123</v>
      </c>
      <c r="C6" s="18" t="str">
        <f>'1_Inputs'!C5</f>
        <v>50</v>
      </c>
      <c r="D6" s="19" t="str">
        <f>'1_Inputs'!C5</f>
        <v>50</v>
      </c>
      <c r="E6" s="20" t="str">
        <f>'1_Inputs'!C5</f>
        <v>50</v>
      </c>
      <c r="F6" s="14" t="s">
        <v>124</v>
      </c>
    </row>
    <row r="7" spans="1:6" ht="18" customHeight="1">
      <c r="B7" s="3" t="s">
        <v>125</v>
      </c>
      <c r="C7" s="18" t="str">
        <f>'1_Inputs'!C6</f>
        <v>30</v>
      </c>
      <c r="D7" s="19" t="str">
        <f>'1_Inputs'!C6</f>
        <v>30</v>
      </c>
      <c r="E7" s="20" t="str">
        <f>'1_Inputs'!C6</f>
        <v>30</v>
      </c>
      <c r="F7" s="14" t="s">
        <v>126</v>
      </c>
    </row>
    <row r="8" spans="1:6" ht="18" customHeight="1">
      <c r="B8" s="3" t="s">
        <v>127</v>
      </c>
      <c r="C8" s="21" t="str">
        <f>'1_Inputs'!C14</f>
        <v>500</v>
      </c>
      <c r="D8" s="22" t="str">
        <f>'1_Inputs'!C14</f>
        <v>500</v>
      </c>
      <c r="E8" s="23" t="str">
        <f>'1_Inputs'!C14</f>
        <v>500</v>
      </c>
      <c r="F8" s="14"/>
    </row>
    <row r="9" spans="1:6" ht="18" customHeight="1">
      <c r="B9" s="3" t="s">
        <v>128</v>
      </c>
      <c r="C9" s="24">
        <f>C8/1000</f>
        <v>0.5</v>
      </c>
      <c r="D9" s="25">
        <f>D8/1000</f>
        <v>0.5</v>
      </c>
      <c r="E9" s="26">
        <f>E8/1000</f>
        <v>0.5</v>
      </c>
      <c r="F9" s="14" t="s">
        <v>129</v>
      </c>
    </row>
    <row r="10" spans="1:6" ht="18" customHeight="1">
      <c r="B10" s="3" t="s">
        <v>130</v>
      </c>
      <c r="C10" s="15">
        <f>156*(C9^0.922)</f>
        <v>82.333189975761414</v>
      </c>
      <c r="D10" s="16">
        <f>156*(D9^0.922)</f>
        <v>82.333189975761414</v>
      </c>
      <c r="E10" s="17">
        <f>156*(E9^0.922)</f>
        <v>82.333189975761414</v>
      </c>
      <c r="F10" s="14" t="s">
        <v>131</v>
      </c>
    </row>
    <row r="11" spans="1:6" ht="18" customHeight="1">
      <c r="B11" s="3" t="s">
        <v>132</v>
      </c>
      <c r="C11" s="15">
        <f>108.2*(C9^0.816)</f>
        <v>61.45918322495973</v>
      </c>
      <c r="D11" s="16">
        <f>108.2*(D9^0.816)</f>
        <v>61.45918322495973</v>
      </c>
      <c r="E11" s="17">
        <f>108.2*(E9^0.816)</f>
        <v>61.45918322495973</v>
      </c>
      <c r="F11" s="14" t="s">
        <v>133</v>
      </c>
    </row>
    <row r="12" spans="1:6" ht="18" customHeight="1">
      <c r="B12" s="10" t="s">
        <v>134</v>
      </c>
      <c r="C12" s="27">
        <f>((C6*1000000)/(3.14159*C10*C11*C5))*EXP(-(C7^2)/(2*C11^2))</f>
        <v>797.72114671414704</v>
      </c>
      <c r="D12" s="28">
        <f>((D6*1000000)/(3.14159*D10*D11*D5))*EXP(-(D7^2)/(2*D11^2))</f>
        <v>797.72114671414704</v>
      </c>
      <c r="E12" s="29">
        <f>((E6*1000000)/(3.14159*E10*E11*E5))*EXP(-(E7^2)/(2*E11^2))</f>
        <v>797.72114671414704</v>
      </c>
      <c r="F12" s="14" t="s">
        <v>135</v>
      </c>
    </row>
    <row r="14" spans="1:6" ht="18" customHeight="1">
      <c r="B14" s="59" t="s">
        <v>136</v>
      </c>
      <c r="C14" s="59"/>
      <c r="D14" s="59"/>
      <c r="E14" s="59"/>
      <c r="F14" s="59"/>
    </row>
    <row r="15" spans="1:6" ht="18" customHeight="1">
      <c r="B15" s="3" t="s">
        <v>137</v>
      </c>
      <c r="C15" s="15">
        <f>0</f>
        <v>0</v>
      </c>
      <c r="D15" s="16" t="str">
        <f>'1_Inputs'!C19</f>
        <v>0.25</v>
      </c>
      <c r="E15" s="17">
        <f>0</f>
        <v>0</v>
      </c>
      <c r="F15" s="14" t="s">
        <v>138</v>
      </c>
    </row>
    <row r="16" spans="1:6" ht="18" customHeight="1">
      <c r="B16" s="10" t="s">
        <v>139</v>
      </c>
      <c r="C16" s="27">
        <f>C12</f>
        <v>797.72114671414704</v>
      </c>
      <c r="D16" s="28">
        <f>D12*(1-D15)</f>
        <v>598.29086003561031</v>
      </c>
      <c r="E16" s="29">
        <f>E12*(1-E15)</f>
        <v>797.72114671414704</v>
      </c>
      <c r="F16" s="14" t="s">
        <v>140</v>
      </c>
    </row>
    <row r="18" spans="2:6" ht="18" customHeight="1">
      <c r="B18" s="59" t="s">
        <v>141</v>
      </c>
      <c r="C18" s="59"/>
      <c r="D18" s="59"/>
      <c r="E18" s="59"/>
      <c r="F18" s="59"/>
    </row>
    <row r="19" spans="2:6" ht="18" customHeight="1">
      <c r="B19" s="3" t="s">
        <v>142</v>
      </c>
      <c r="C19" s="15" t="str">
        <f>'1_Inputs'!C25</f>
        <v>0.45</v>
      </c>
      <c r="D19" s="16" t="str">
        <f>'1_Inputs'!C25</f>
        <v>0.45</v>
      </c>
      <c r="E19" s="17" t="str">
        <f>'1_Inputs'!C25</f>
        <v>0.45</v>
      </c>
      <c r="F19" s="14"/>
    </row>
    <row r="20" spans="2:6" ht="18" customHeight="1">
      <c r="B20" s="3" t="s">
        <v>143</v>
      </c>
      <c r="C20" s="15">
        <f>0</f>
        <v>0</v>
      </c>
      <c r="D20" s="16">
        <f>0</f>
        <v>0</v>
      </c>
      <c r="E20" s="17" t="str">
        <f>'1_Inputs'!C26</f>
        <v>0.15</v>
      </c>
      <c r="F20" s="14" t="s">
        <v>144</v>
      </c>
    </row>
    <row r="21" spans="2:6" ht="18" customHeight="1">
      <c r="B21" s="3" t="s">
        <v>145</v>
      </c>
      <c r="C21" s="15">
        <f>0</f>
        <v>0</v>
      </c>
      <c r="D21" s="16">
        <f>0</f>
        <v>0</v>
      </c>
      <c r="E21" s="17" t="str">
        <f>'1_Inputs'!C24</f>
        <v>0.85</v>
      </c>
      <c r="F21" s="14" t="s">
        <v>146</v>
      </c>
    </row>
    <row r="22" spans="2:6" ht="18" customHeight="1">
      <c r="B22" s="3" t="s">
        <v>147</v>
      </c>
      <c r="C22" s="15">
        <f>C19*C21</f>
        <v>0</v>
      </c>
      <c r="D22" s="16">
        <f>D19*D21</f>
        <v>0</v>
      </c>
      <c r="E22" s="17">
        <f>(E19+E20)*E21</f>
        <v>0.51</v>
      </c>
      <c r="F22" s="14" t="s">
        <v>148</v>
      </c>
    </row>
    <row r="23" spans="2:6" ht="18" customHeight="1">
      <c r="B23" s="3" t="s">
        <v>149</v>
      </c>
      <c r="C23" s="15">
        <f>C19+C20+C22</f>
        <v>0.45</v>
      </c>
      <c r="D23" s="16">
        <f>D19+D20+D22</f>
        <v>0.45</v>
      </c>
      <c r="E23" s="17">
        <f>E19+E20+E22</f>
        <v>1.1099999999999999</v>
      </c>
      <c r="F23" s="14" t="s">
        <v>150</v>
      </c>
    </row>
    <row r="24" spans="2:6" ht="18" customHeight="1">
      <c r="B24" s="10" t="s">
        <v>151</v>
      </c>
      <c r="C24" s="27">
        <f>IF(C23&gt;0,C16*(C19/C23),0)</f>
        <v>797.72114671414704</v>
      </c>
      <c r="D24" s="28">
        <f>IF(D23&gt;0,D16*(D19/D23),0)</f>
        <v>598.29086003561031</v>
      </c>
      <c r="E24" s="29">
        <f>IF(E23&gt;0,E16*(E19/E23),0)</f>
        <v>323.40046488411372</v>
      </c>
      <c r="F24" s="14" t="s">
        <v>152</v>
      </c>
    </row>
    <row r="26" spans="2:6" ht="18" customHeight="1">
      <c r="B26" s="59" t="s">
        <v>153</v>
      </c>
      <c r="C26" s="59"/>
      <c r="D26" s="59"/>
      <c r="E26" s="59"/>
      <c r="F26" s="59"/>
    </row>
    <row r="27" spans="2:6" ht="18" customHeight="1">
      <c r="B27" s="3" t="s">
        <v>154</v>
      </c>
      <c r="C27" s="21" t="str">
        <f>'1_Inputs'!C29</f>
        <v>16</v>
      </c>
      <c r="D27" s="22" t="str">
        <f>'1_Inputs'!C29</f>
        <v>16</v>
      </c>
      <c r="E27" s="23" t="str">
        <f>'1_Inputs'!C29</f>
        <v>16</v>
      </c>
      <c r="F27" s="14"/>
    </row>
    <row r="28" spans="2:6" ht="18" customHeight="1">
      <c r="B28" s="3" t="s">
        <v>155</v>
      </c>
      <c r="C28" s="24">
        <f>24*0.5*0.012</f>
        <v>0.14400000000000002</v>
      </c>
      <c r="D28" s="25">
        <f>24*0.5*0.012</f>
        <v>0.14400000000000002</v>
      </c>
      <c r="E28" s="26">
        <f>24*0.5*0.012</f>
        <v>0.14400000000000002</v>
      </c>
      <c r="F28" s="14" t="s">
        <v>156</v>
      </c>
    </row>
    <row r="29" spans="2:6" ht="18" customHeight="1">
      <c r="B29" s="10" t="s">
        <v>157</v>
      </c>
      <c r="C29" s="27">
        <f>C24*C27*C28</f>
        <v>1837.949522029395</v>
      </c>
      <c r="D29" s="28">
        <f>D24*D27*D28</f>
        <v>1378.4621415220463</v>
      </c>
      <c r="E29" s="29">
        <f>E24*E27*E28</f>
        <v>745.11467109299804</v>
      </c>
      <c r="F29" s="14" t="s">
        <v>158</v>
      </c>
    </row>
    <row r="31" spans="2:6" ht="18" customHeight="1">
      <c r="B31" s="59" t="s">
        <v>159</v>
      </c>
      <c r="C31" s="59"/>
      <c r="D31" s="59"/>
      <c r="E31" s="59"/>
      <c r="F31" s="59"/>
    </row>
    <row r="32" spans="2:6" ht="18" customHeight="1">
      <c r="B32" s="10" t="s">
        <v>160</v>
      </c>
      <c r="C32" s="27">
        <f>0</f>
        <v>0</v>
      </c>
      <c r="D32" s="28">
        <f>C29-D29</f>
        <v>459.48738050734869</v>
      </c>
      <c r="E32" s="29">
        <f>C29-E29</f>
        <v>1092.8348509363968</v>
      </c>
      <c r="F32" s="14" t="s">
        <v>161</v>
      </c>
    </row>
    <row r="33" spans="2:6" ht="18" customHeight="1">
      <c r="B33" s="10" t="s">
        <v>162</v>
      </c>
      <c r="C33" s="30">
        <f>0</f>
        <v>0</v>
      </c>
      <c r="D33" s="31">
        <f>IF(C29&gt;0,(C29-D29)/C29*100,0)</f>
        <v>24.999999999999996</v>
      </c>
      <c r="E33" s="32">
        <f>IF(C29&gt;0,(C29-E29)/C29*100,0)</f>
        <v>59.459459459459453</v>
      </c>
      <c r="F33" s="14" t="s">
        <v>163</v>
      </c>
    </row>
    <row r="35" spans="2:6" ht="18" customHeight="1">
      <c r="B35" s="59" t="s">
        <v>164</v>
      </c>
      <c r="C35" s="59"/>
      <c r="D35" s="59"/>
      <c r="E35" s="59"/>
      <c r="F35" s="59"/>
    </row>
    <row r="36" spans="2:6" ht="18" customHeight="1">
      <c r="B36" s="3" t="s">
        <v>165</v>
      </c>
      <c r="C36" s="33">
        <f>0</f>
        <v>0</v>
      </c>
      <c r="D36" s="34" t="str">
        <f>'1_Inputs'!C20</f>
        <v>180000</v>
      </c>
      <c r="E36" s="35">
        <f>'1_Inputs'!C27*'1_Inputs'!C23</f>
        <v>216000</v>
      </c>
      <c r="F36" s="14" t="s">
        <v>166</v>
      </c>
    </row>
    <row r="37" spans="2:6" ht="18" customHeight="1">
      <c r="B37" s="3" t="s">
        <v>167</v>
      </c>
      <c r="C37" s="33">
        <f>0</f>
        <v>0</v>
      </c>
      <c r="D37" s="34" t="str">
        <f>'1_Inputs'!C21</f>
        <v>8000</v>
      </c>
      <c r="E37" s="35">
        <f>'1_Inputs'!C28*'1_Inputs'!C23</f>
        <v>14400</v>
      </c>
      <c r="F37" s="14" t="s">
        <v>168</v>
      </c>
    </row>
    <row r="38" spans="2:6" ht="18" customHeight="1">
      <c r="B38" s="3" t="s">
        <v>169</v>
      </c>
      <c r="C38" s="33">
        <f>0</f>
        <v>0</v>
      </c>
      <c r="D38" s="34">
        <f>IF(D36&gt;0,D36+20*D37,0)</f>
        <v>340000</v>
      </c>
      <c r="E38" s="35">
        <f>IF(E36&gt;0,E36+20*E37,0)</f>
        <v>504000</v>
      </c>
      <c r="F38" s="14" t="s">
        <v>170</v>
      </c>
    </row>
  </sheetData>
  <mergeCells count="7">
    <mergeCell ref="B31:F31"/>
    <mergeCell ref="B35:F35"/>
    <mergeCell ref="A1:F1"/>
    <mergeCell ref="B3:F3"/>
    <mergeCell ref="B14:F14"/>
    <mergeCell ref="B18:F18"/>
    <mergeCell ref="B26:F2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7"/>
  <sheetViews>
    <sheetView showGridLines="0" zoomScaleNormal="100" workbookViewId="0">
      <selection activeCell="I8" sqref="I8"/>
    </sheetView>
  </sheetViews>
  <sheetFormatPr defaultColWidth="8.7109375" defaultRowHeight="15"/>
  <cols>
    <col min="1" max="1" width="2" customWidth="1"/>
    <col min="2" max="2" width="33.42578125" customWidth="1"/>
    <col min="3" max="3" width="19.140625" bestFit="1" customWidth="1"/>
    <col min="4" max="4" width="24.7109375" bestFit="1" customWidth="1"/>
    <col min="5" max="5" width="22" bestFit="1" customWidth="1"/>
    <col min="6" max="6" width="28" customWidth="1"/>
    <col min="7" max="7" width="2" customWidth="1"/>
  </cols>
  <sheetData>
    <row r="1" spans="1:7" ht="39.75" customHeight="1">
      <c r="A1" s="61" t="s">
        <v>171</v>
      </c>
      <c r="B1" s="61"/>
      <c r="C1" s="61"/>
      <c r="D1" s="61"/>
      <c r="E1" s="61"/>
      <c r="F1" s="61"/>
      <c r="G1" s="61"/>
    </row>
    <row r="2" spans="1:7" ht="21.75" customHeight="1">
      <c r="A2" s="36"/>
      <c r="B2" s="36" t="s">
        <v>172</v>
      </c>
      <c r="C2" s="36" t="s">
        <v>173</v>
      </c>
      <c r="D2" s="36" t="s">
        <v>174</v>
      </c>
      <c r="E2" s="36" t="s">
        <v>175</v>
      </c>
      <c r="F2" s="36" t="s">
        <v>6</v>
      </c>
    </row>
    <row r="3" spans="1:7" ht="19.5" customHeight="1">
      <c r="B3" s="62" t="s">
        <v>176</v>
      </c>
      <c r="C3" s="62"/>
      <c r="D3" s="62"/>
      <c r="E3" s="62"/>
      <c r="F3" s="62"/>
    </row>
    <row r="4" spans="1:7" ht="18" customHeight="1">
      <c r="B4" s="10" t="s">
        <v>177</v>
      </c>
      <c r="C4" s="37">
        <f>'2_Model'!C12</f>
        <v>797.72114671414704</v>
      </c>
      <c r="D4" s="28" t="s">
        <v>32</v>
      </c>
      <c r="E4" s="29" t="s">
        <v>32</v>
      </c>
      <c r="F4" s="14" t="s">
        <v>178</v>
      </c>
    </row>
    <row r="5" spans="1:7" ht="18" customHeight="1">
      <c r="B5" s="3" t="s">
        <v>179</v>
      </c>
      <c r="C5" s="38">
        <f>'2_Model'!C16</f>
        <v>797.72114671414704</v>
      </c>
      <c r="D5" s="16">
        <f>'2_Model'!D16</f>
        <v>598.29086003561031</v>
      </c>
      <c r="E5" s="17">
        <f>'2_Model'!E16</f>
        <v>797.72114671414704</v>
      </c>
      <c r="F5" s="14" t="s">
        <v>180</v>
      </c>
    </row>
    <row r="6" spans="1:7" ht="18" customHeight="1">
      <c r="B6" s="10" t="s">
        <v>151</v>
      </c>
      <c r="C6" s="37">
        <f>'2_Model'!C24</f>
        <v>797.72114671414704</v>
      </c>
      <c r="D6" s="28">
        <f>'2_Model'!D24</f>
        <v>598.29086003561031</v>
      </c>
      <c r="E6" s="29">
        <f>'2_Model'!E24</f>
        <v>323.40046488411372</v>
      </c>
      <c r="F6" s="14" t="s">
        <v>181</v>
      </c>
    </row>
    <row r="7" spans="1:7" ht="18" customHeight="1">
      <c r="B7" s="10" t="s">
        <v>182</v>
      </c>
      <c r="C7" s="37">
        <f>'2_Model'!C29</f>
        <v>1837.949522029395</v>
      </c>
      <c r="D7" s="28">
        <f>'2_Model'!D29</f>
        <v>1378.4621415220463</v>
      </c>
      <c r="E7" s="29">
        <f>'2_Model'!E29</f>
        <v>745.11467109299804</v>
      </c>
      <c r="F7" s="14" t="s">
        <v>183</v>
      </c>
    </row>
    <row r="8" spans="1:7" ht="18" customHeight="1">
      <c r="B8" s="10" t="s">
        <v>184</v>
      </c>
      <c r="C8" s="39" t="s">
        <v>32</v>
      </c>
      <c r="D8" s="31">
        <f>'2_Model'!D33</f>
        <v>24.999999999999996</v>
      </c>
      <c r="E8" s="32">
        <f>'2_Model'!E33</f>
        <v>59.459459459459453</v>
      </c>
      <c r="F8" s="14" t="s">
        <v>185</v>
      </c>
    </row>
    <row r="9" spans="1:7" ht="19.5" customHeight="1">
      <c r="B9" s="62" t="s">
        <v>186</v>
      </c>
      <c r="C9" s="62"/>
      <c r="D9" s="62"/>
      <c r="E9" s="62"/>
      <c r="F9" s="62"/>
    </row>
    <row r="10" spans="1:7" ht="18" customHeight="1">
      <c r="B10" s="10" t="s">
        <v>165</v>
      </c>
      <c r="C10" s="40" t="s">
        <v>32</v>
      </c>
      <c r="D10" s="41" t="str">
        <f>'2_Model'!D36</f>
        <v>180000</v>
      </c>
      <c r="E10" s="42">
        <f>'2_Model'!E36</f>
        <v>216000</v>
      </c>
      <c r="F10" s="14"/>
    </row>
    <row r="11" spans="1:7" ht="18" customHeight="1">
      <c r="B11" s="3" t="s">
        <v>167</v>
      </c>
      <c r="C11" s="43" t="s">
        <v>32</v>
      </c>
      <c r="D11" s="34" t="str">
        <f>'2_Model'!D37</f>
        <v>8000</v>
      </c>
      <c r="E11" s="35">
        <f>'2_Model'!E37</f>
        <v>14400</v>
      </c>
      <c r="F11" s="14"/>
    </row>
    <row r="12" spans="1:7" ht="18" customHeight="1">
      <c r="B12" s="10" t="s">
        <v>169</v>
      </c>
      <c r="C12" s="40" t="s">
        <v>32</v>
      </c>
      <c r="D12" s="41">
        <f>'2_Model'!D38</f>
        <v>340000</v>
      </c>
      <c r="E12" s="42">
        <f>'2_Model'!E38</f>
        <v>504000</v>
      </c>
      <c r="F12" s="14" t="s">
        <v>187</v>
      </c>
    </row>
    <row r="13" spans="1:7" ht="18" customHeight="1">
      <c r="B13" s="3" t="s">
        <v>188</v>
      </c>
      <c r="C13" s="43" t="s">
        <v>32</v>
      </c>
      <c r="D13" s="34">
        <f>IF('2_Model'!D33&gt;0,'2_Model'!D38/'2_Model'!D33,"N/A")</f>
        <v>13600.000000000002</v>
      </c>
      <c r="E13" s="35">
        <f>IF('2_Model'!E33&gt;0,'2_Model'!E38/'2_Model'!E33,"N/A")</f>
        <v>8476.3636363636379</v>
      </c>
      <c r="F13" s="14" t="s">
        <v>189</v>
      </c>
    </row>
    <row r="14" spans="1:7" ht="19.5" customHeight="1">
      <c r="B14" s="62" t="s">
        <v>190</v>
      </c>
      <c r="C14" s="62"/>
      <c r="D14" s="62"/>
      <c r="E14" s="62"/>
      <c r="F14" s="62"/>
    </row>
    <row r="15" spans="1:7" ht="18" customHeight="1">
      <c r="B15" s="10" t="s">
        <v>191</v>
      </c>
      <c r="C15" s="37" t="s">
        <v>32</v>
      </c>
      <c r="D15" s="28">
        <f>'4_MCDA'!C31</f>
        <v>3.5999999999999996</v>
      </c>
      <c r="E15" s="29">
        <f>'4_MCDA'!D31</f>
        <v>3.2874999999999996</v>
      </c>
      <c r="F15" s="14" t="s">
        <v>192</v>
      </c>
    </row>
    <row r="18" spans="2:6" ht="15" customHeight="1">
      <c r="B18" s="63" t="s">
        <v>193</v>
      </c>
      <c r="C18" s="63"/>
      <c r="D18" s="63"/>
      <c r="E18" s="63"/>
      <c r="F18" s="63"/>
    </row>
    <row r="19" spans="2:6" ht="15" customHeight="1">
      <c r="B19" s="44" t="s">
        <v>194</v>
      </c>
      <c r="C19" s="44" t="s">
        <v>195</v>
      </c>
      <c r="D19" s="44" t="s">
        <v>196</v>
      </c>
      <c r="E19" s="44" t="s">
        <v>197</v>
      </c>
      <c r="F19" s="44" t="s">
        <v>198</v>
      </c>
    </row>
    <row r="20" spans="2:6" ht="15.75" customHeight="1">
      <c r="B20" s="21">
        <v>100</v>
      </c>
      <c r="C20" s="38">
        <f>('2_Model'!C6*1000000/(3.14159*156*(0.1^0.922)*108.2*(0.1^0.816)*'2_Model'!C5))*EXP(-('2_Model'!C7^2)/(2*(108.2*(0.1^0.816))^2))</f>
        <v>2837.9943078807087</v>
      </c>
      <c r="D20" s="38">
        <f>('2_Model'!C6*1000000/(3.14159*156*(0.1^0.922)*108.2*(0.1^0.816)*'2_Model'!C5))*EXP(-('2_Model'!C7^2)/(2*(108.2*(0.1^0.816))^2))*('1_Inputs'!C25/('1_Inputs'!C25))</f>
        <v>2837.9943078807087</v>
      </c>
      <c r="E20" s="16">
        <f>('2_Model'!C6*1000000/(3.14159*156*(0.1^0.922)*108.2*(0.1^0.816)*'2_Model'!C5))*EXP(-('2_Model'!C7^2)/(2*(108.2*(0.1^0.816))^2))*(1-'1_Inputs'!C19)*('1_Inputs'!C25/('1_Inputs'!C25))</f>
        <v>2128.4957309105316</v>
      </c>
      <c r="F20" s="17">
        <f>('2_Model'!C6*1000000/(3.14159*156*(0.1^0.922)*108.2*(0.1^0.816)*'2_Model'!C5))*EXP(-('2_Model'!C7^2)/(2*(108.2*(0.1^0.816))^2))*('1_Inputs'!C25/('1_Inputs'!C25+'1_Inputs'!C26+('1_Inputs'!C25+'1_Inputs'!C26)*'1_Inputs'!C24))</f>
        <v>1150.5382329246117</v>
      </c>
    </row>
    <row r="21" spans="2:6" ht="15.75" customHeight="1">
      <c r="B21" s="21">
        <v>200</v>
      </c>
      <c r="C21" s="38">
        <f>('2_Model'!C6*1000000/(3.14159*156*(0.2^0.922)*108.2*(0.2^0.816)*'2_Model'!C5))*EXP(-('2_Model'!C7^2)/(2*(108.2*(0.2^0.816))^2))</f>
        <v>2596.5511722153688</v>
      </c>
      <c r="D21" s="38">
        <f>('2_Model'!C6*1000000/(3.14159*156*(0.2^0.922)*108.2*(0.2^0.816)*'2_Model'!C5))*EXP(-('2_Model'!C7^2)/(2*(108.2*(0.2^0.816))^2))*('1_Inputs'!C25/('1_Inputs'!C25))</f>
        <v>2596.5511722153688</v>
      </c>
      <c r="E21" s="16">
        <f>('2_Model'!C6*1000000/(3.14159*156*(0.2^0.922)*108.2*(0.2^0.816)*'2_Model'!C5))*EXP(-('2_Model'!C7^2)/(2*(108.2*(0.2^0.816))^2))*(1-'1_Inputs'!C19)*('1_Inputs'!C25/('1_Inputs'!C25))</f>
        <v>1947.4133791615266</v>
      </c>
      <c r="F21" s="17">
        <f>('2_Model'!C6*1000000/(3.14159*156*(0.2^0.922)*108.2*(0.2^0.816)*'2_Model'!C5))*EXP(-('2_Model'!C7^2)/(2*(108.2*(0.2^0.816))^2))*('1_Inputs'!C25/('1_Inputs'!C25+'1_Inputs'!C26+('1_Inputs'!C25+'1_Inputs'!C26)*'1_Inputs'!C24))</f>
        <v>1052.6558806278524</v>
      </c>
    </row>
    <row r="22" spans="2:6" ht="15.75" customHeight="1">
      <c r="B22" s="21">
        <v>300</v>
      </c>
      <c r="C22" s="38">
        <f>('2_Model'!C6*1000000/(3.14159*156*(0.3^0.922)*108.2*(0.3^0.816)*'2_Model'!C5))*EXP(-('2_Model'!C7^2)/(2*(108.2*(0.3^0.816))^2))</f>
        <v>1659.8637871991036</v>
      </c>
      <c r="D22" s="38">
        <f>('2_Model'!C6*1000000/(3.14159*156*(0.3^0.922)*108.2*(0.3^0.816)*'2_Model'!C5))*EXP(-('2_Model'!C7^2)/(2*(108.2*(0.3^0.816))^2))*('1_Inputs'!C25/('1_Inputs'!C25))</f>
        <v>1659.8637871991036</v>
      </c>
      <c r="E22" s="16">
        <f>('2_Model'!C6*1000000/(3.14159*156*(0.3^0.922)*108.2*(0.3^0.816)*'2_Model'!C5))*EXP(-('2_Model'!C7^2)/(2*(108.2*(0.3^0.816))^2))*(1-'1_Inputs'!C19)*('1_Inputs'!C25/('1_Inputs'!C25))</f>
        <v>1244.8978403993278</v>
      </c>
      <c r="F22" s="17">
        <f>('2_Model'!C6*1000000/(3.14159*156*(0.3^0.922)*108.2*(0.3^0.816)*'2_Model'!C5))*EXP(-('2_Model'!C7^2)/(2*(108.2*(0.3^0.816))^2))*('1_Inputs'!C25/('1_Inputs'!C25+'1_Inputs'!C26+('1_Inputs'!C25+'1_Inputs'!C26)*'1_Inputs'!C24))</f>
        <v>672.91775156720428</v>
      </c>
    </row>
    <row r="23" spans="2:6" ht="15.75" customHeight="1">
      <c r="B23" s="21">
        <v>500</v>
      </c>
      <c r="C23" s="38">
        <f>('2_Model'!C6*1000000/(3.14159*156*(0.5^0.922)*108.2*(0.5^0.816)*'2_Model'!C5))*EXP(-('2_Model'!C7^2)/(2*(108.2*(0.5^0.816))^2))</f>
        <v>797.72114671414727</v>
      </c>
      <c r="D23" s="38">
        <f>('2_Model'!C6*1000000/(3.14159*156*(0.5^0.922)*108.2*(0.5^0.816)*'2_Model'!C5))*EXP(-('2_Model'!C7^2)/(2*(108.2*(0.5^0.816))^2))*('1_Inputs'!C25/('1_Inputs'!C25))</f>
        <v>797.72114671414727</v>
      </c>
      <c r="E23" s="16">
        <f>('2_Model'!C6*1000000/(3.14159*156*(0.5^0.922)*108.2*(0.5^0.816)*'2_Model'!C5))*EXP(-('2_Model'!C7^2)/(2*(108.2*(0.5^0.816))^2))*(1-'1_Inputs'!C19)*('1_Inputs'!C25/('1_Inputs'!C25))</f>
        <v>598.29086003561042</v>
      </c>
      <c r="F23" s="17">
        <f>('2_Model'!C6*1000000/(3.14159*156*(0.5^0.922)*108.2*(0.5^0.816)*'2_Model'!C5))*EXP(-('2_Model'!C7^2)/(2*(108.2*(0.5^0.816))^2))*('1_Inputs'!C25/('1_Inputs'!C25+'1_Inputs'!C26+('1_Inputs'!C25+'1_Inputs'!C26)*'1_Inputs'!C24))</f>
        <v>323.40046488411383</v>
      </c>
    </row>
    <row r="24" spans="2:6" ht="15.75" customHeight="1">
      <c r="B24" s="21">
        <v>750</v>
      </c>
      <c r="C24" s="38">
        <f>('2_Model'!C6*1000000/(3.14159*156*(0.75^0.922)*108.2*(0.75^0.816)*'2_Model'!C5))*EXP(-('2_Model'!C7^2)/(2*(108.2*(0.75^0.816))^2))</f>
        <v>417.68449812875269</v>
      </c>
      <c r="D24" s="38">
        <f>('2_Model'!C6*1000000/(3.14159*156*(0.75^0.922)*108.2*(0.75^0.816)*'2_Model'!C5))*EXP(-('2_Model'!C7^2)/(2*(108.2*(0.75^0.816))^2))*('1_Inputs'!C25/('1_Inputs'!C25))</f>
        <v>417.68449812875269</v>
      </c>
      <c r="E24" s="16">
        <f>('2_Model'!C6*1000000/(3.14159*156*(0.75^0.922)*108.2*(0.75^0.816)*'2_Model'!C5))*EXP(-('2_Model'!C7^2)/(2*(108.2*(0.75^0.816))^2))*(1-'1_Inputs'!C19)*('1_Inputs'!C25/('1_Inputs'!C25))</f>
        <v>313.26337359656452</v>
      </c>
      <c r="F24" s="17">
        <f>('2_Model'!C6*1000000/(3.14159*156*(0.75^0.922)*108.2*(0.75^0.816)*'2_Model'!C5))*EXP(-('2_Model'!C7^2)/(2*(108.2*(0.75^0.816))^2))*('1_Inputs'!C25/('1_Inputs'!C25+'1_Inputs'!C26+('1_Inputs'!C25+'1_Inputs'!C26)*'1_Inputs'!C24))</f>
        <v>169.3315532954403</v>
      </c>
    </row>
    <row r="25" spans="2:6" ht="15.75" customHeight="1">
      <c r="B25" s="21">
        <v>1000</v>
      </c>
      <c r="C25" s="38">
        <f>('2_Model'!C6*1000000/(3.14159*156*(1^0.922)*108.2*(1^0.816)*'2_Model'!C5))*EXP(-('2_Model'!C7^2)/(2*(108.2*(1^0.816))^2))</f>
        <v>259.24315067742378</v>
      </c>
      <c r="D25" s="38">
        <f>('2_Model'!C6*1000000/(3.14159*156*(1^0.922)*108.2*(1^0.816)*'2_Model'!C5))*EXP(-('2_Model'!C7^2)/(2*(108.2*(1^0.816))^2))*('1_Inputs'!C25/('1_Inputs'!C25))</f>
        <v>259.24315067742378</v>
      </c>
      <c r="E25" s="16">
        <f>('2_Model'!C6*1000000/(3.14159*156*(1^0.922)*108.2*(1^0.816)*'2_Model'!C5))*EXP(-('2_Model'!C7^2)/(2*(108.2*(1^0.816))^2))*(1-'1_Inputs'!C19)*('1_Inputs'!C25/('1_Inputs'!C25))</f>
        <v>194.43236300806785</v>
      </c>
      <c r="F25" s="17">
        <f>('2_Model'!C6*1000000/(3.14159*156*(1^0.922)*108.2*(1^0.816)*'2_Model'!C5))*EXP(-('2_Model'!C7^2)/(2*(108.2*(1^0.816))^2))*('1_Inputs'!C25/('1_Inputs'!C25+'1_Inputs'!C26+('1_Inputs'!C25+'1_Inputs'!C26)*'1_Inputs'!C24))</f>
        <v>105.09857459895561</v>
      </c>
    </row>
    <row r="26" spans="2:6" ht="15.75" customHeight="1">
      <c r="B26" s="21">
        <v>1500</v>
      </c>
      <c r="C26" s="38">
        <f>('2_Model'!C6*1000000/(3.14159*156*(1.5^0.922)*108.2*(1.5^0.816)*'2_Model'!C5))*EXP(-('2_Model'!C7^2)/(2*(108.2*(1.5^0.816))^2))</f>
        <v>130.53917074318323</v>
      </c>
      <c r="D26" s="38">
        <f>('2_Model'!C6*1000000/(3.14159*156*(1.5^0.922)*108.2*(1.5^0.816)*'2_Model'!C5))*EXP(-('2_Model'!C7^2)/(2*(108.2*(1.5^0.816))^2))*('1_Inputs'!C25/('1_Inputs'!C25))</f>
        <v>130.53917074318323</v>
      </c>
      <c r="E26" s="16">
        <f>('2_Model'!C6*1000000/(3.14159*156*(1.5^0.922)*108.2*(1.5^0.816)*'2_Model'!C5))*EXP(-('2_Model'!C7^2)/(2*(108.2*(1.5^0.816))^2))*(1-'1_Inputs'!C19)*('1_Inputs'!C25/('1_Inputs'!C25))</f>
        <v>97.904378057387419</v>
      </c>
      <c r="F26" s="17">
        <f>('2_Model'!C6*1000000/(3.14159*156*(1.5^0.922)*108.2*(1.5^0.816)*'2_Model'!C5))*EXP(-('2_Model'!C7^2)/(2*(108.2*(1.5^0.816))^2))*('1_Inputs'!C25/('1_Inputs'!C25+'1_Inputs'!C26+('1_Inputs'!C25+'1_Inputs'!C26)*'1_Inputs'!C24))</f>
        <v>52.921285436425649</v>
      </c>
    </row>
    <row r="27" spans="2:6" ht="15.75" customHeight="1">
      <c r="B27" s="21">
        <v>2000</v>
      </c>
      <c r="C27" s="38">
        <f>('2_Model'!C6*1000000/(3.14159*156*(2^0.922)*108.2*(2^0.816)*'2_Model'!C5))*EXP(-('2_Model'!C7^2)/(2*(108.2*(2^0.816))^2))</f>
        <v>79.767232486753585</v>
      </c>
      <c r="D27" s="38">
        <f>('2_Model'!C6*1000000/(3.14159*156*(2^0.922)*108.2*(2^0.816)*'2_Model'!C5))*EXP(-('2_Model'!C7^2)/(2*(108.2*(2^0.816))^2))*('1_Inputs'!C25/('1_Inputs'!C25))</f>
        <v>79.767232486753585</v>
      </c>
      <c r="E27" s="16">
        <f>('2_Model'!C6*1000000/(3.14159*156*(2^0.922)*108.2*(2^0.816)*'2_Model'!C5))*EXP(-('2_Model'!C7^2)/(2*(108.2*(2^0.816))^2))*(1-'1_Inputs'!C19)*('1_Inputs'!C25/('1_Inputs'!C25))</f>
        <v>59.825424365065189</v>
      </c>
      <c r="F27" s="17">
        <f>('2_Model'!C6*1000000/(3.14159*156*(2^0.922)*108.2*(2^0.816)*'2_Model'!C5))*EXP(-('2_Model'!C7^2)/(2*(108.2*(2^0.816))^2))*('1_Inputs'!C25/('1_Inputs'!C25+'1_Inputs'!C26+('1_Inputs'!C25+'1_Inputs'!C26)*'1_Inputs'!C24))</f>
        <v>32.33806722435957</v>
      </c>
    </row>
  </sheetData>
  <mergeCells count="5">
    <mergeCell ref="A1:G1"/>
    <mergeCell ref="B3:F3"/>
    <mergeCell ref="B9:F9"/>
    <mergeCell ref="B14:F14"/>
    <mergeCell ref="B18:F18"/>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3"/>
  <sheetViews>
    <sheetView showGridLines="0" zoomScaleNormal="100" workbookViewId="0">
      <selection sqref="A1:F1"/>
    </sheetView>
  </sheetViews>
  <sheetFormatPr defaultColWidth="8.7109375" defaultRowHeight="15"/>
  <cols>
    <col min="1" max="1" width="2" customWidth="1"/>
    <col min="2" max="2" width="42.85546875" customWidth="1"/>
    <col min="3" max="4" width="16" customWidth="1"/>
    <col min="5" max="5" width="63.140625" bestFit="1" customWidth="1"/>
    <col min="6" max="6" width="2" customWidth="1"/>
  </cols>
  <sheetData>
    <row r="1" spans="1:6" ht="36" customHeight="1">
      <c r="A1" s="66" t="s">
        <v>199</v>
      </c>
      <c r="B1" s="66"/>
      <c r="C1" s="66"/>
      <c r="D1" s="66"/>
      <c r="E1" s="66"/>
      <c r="F1" s="66"/>
    </row>
    <row r="2" spans="1:6" ht="27.75" customHeight="1">
      <c r="A2" s="67" t="s">
        <v>200</v>
      </c>
      <c r="B2" s="67"/>
      <c r="C2" s="67"/>
      <c r="D2" s="67"/>
      <c r="E2" s="67"/>
      <c r="F2" s="67"/>
    </row>
    <row r="3" spans="1:6" ht="21.75" customHeight="1">
      <c r="A3" s="36"/>
      <c r="B3" s="36" t="s">
        <v>201</v>
      </c>
      <c r="C3" s="36" t="s">
        <v>202</v>
      </c>
      <c r="D3" s="36" t="s">
        <v>203</v>
      </c>
      <c r="E3" s="36" t="s">
        <v>204</v>
      </c>
    </row>
    <row r="4" spans="1:6" ht="19.5" customHeight="1">
      <c r="B4" s="62" t="s">
        <v>205</v>
      </c>
      <c r="C4" s="62"/>
      <c r="D4" s="62"/>
      <c r="E4" s="62"/>
    </row>
    <row r="5" spans="1:6" ht="31.5" customHeight="1">
      <c r="B5" s="3" t="s">
        <v>206</v>
      </c>
      <c r="C5" s="45">
        <v>3</v>
      </c>
      <c r="D5" s="45">
        <v>2</v>
      </c>
      <c r="E5" s="46" t="s">
        <v>207</v>
      </c>
    </row>
    <row r="6" spans="1:6" ht="31.5" customHeight="1">
      <c r="B6" s="3" t="s">
        <v>208</v>
      </c>
      <c r="C6" s="45">
        <v>2</v>
      </c>
      <c r="D6" s="45">
        <v>5</v>
      </c>
      <c r="E6" s="46" t="s">
        <v>209</v>
      </c>
    </row>
    <row r="7" spans="1:6" ht="31.5" customHeight="1">
      <c r="B7" s="3" t="s">
        <v>210</v>
      </c>
      <c r="C7" s="45">
        <v>4</v>
      </c>
      <c r="D7" s="45">
        <v>4</v>
      </c>
      <c r="E7" s="46" t="s">
        <v>211</v>
      </c>
    </row>
    <row r="8" spans="1:6" ht="31.5" customHeight="1">
      <c r="B8" s="3" t="s">
        <v>212</v>
      </c>
      <c r="C8" s="45">
        <v>3</v>
      </c>
      <c r="D8" s="45">
        <v>5</v>
      </c>
      <c r="E8" s="46" t="s">
        <v>213</v>
      </c>
    </row>
    <row r="9" spans="1:6" ht="19.5" customHeight="1">
      <c r="B9" s="62" t="s">
        <v>214</v>
      </c>
      <c r="C9" s="62"/>
      <c r="D9" s="62"/>
      <c r="E9" s="62"/>
    </row>
    <row r="10" spans="1:6" ht="31.5" customHeight="1">
      <c r="B10" s="3" t="s">
        <v>215</v>
      </c>
      <c r="C10" s="45">
        <v>3</v>
      </c>
      <c r="D10" s="45">
        <v>4</v>
      </c>
      <c r="E10" s="46" t="s">
        <v>216</v>
      </c>
    </row>
    <row r="11" spans="1:6" ht="31.5" customHeight="1">
      <c r="B11" s="3" t="s">
        <v>217</v>
      </c>
      <c r="C11" s="45">
        <v>4</v>
      </c>
      <c r="D11" s="45">
        <v>3</v>
      </c>
      <c r="E11" s="46" t="s">
        <v>218</v>
      </c>
    </row>
    <row r="12" spans="1:6" ht="31.5" customHeight="1">
      <c r="B12" s="3" t="s">
        <v>219</v>
      </c>
      <c r="C12" s="45">
        <v>2</v>
      </c>
      <c r="D12" s="45">
        <v>4</v>
      </c>
      <c r="E12" s="46" t="s">
        <v>220</v>
      </c>
    </row>
    <row r="13" spans="1:6" ht="31.5" customHeight="1">
      <c r="B13" s="3" t="s">
        <v>221</v>
      </c>
      <c r="C13" s="45">
        <v>5</v>
      </c>
      <c r="D13" s="45">
        <v>2</v>
      </c>
      <c r="E13" s="46" t="s">
        <v>222</v>
      </c>
    </row>
    <row r="14" spans="1:6" ht="19.5" customHeight="1">
      <c r="B14" s="62" t="s">
        <v>223</v>
      </c>
      <c r="C14" s="62"/>
      <c r="D14" s="62"/>
      <c r="E14" s="62"/>
    </row>
    <row r="15" spans="1:6" ht="31.5" customHeight="1">
      <c r="B15" s="3" t="s">
        <v>224</v>
      </c>
      <c r="C15" s="45">
        <v>4</v>
      </c>
      <c r="D15" s="45">
        <v>3</v>
      </c>
      <c r="E15" s="46" t="s">
        <v>225</v>
      </c>
    </row>
    <row r="16" spans="1:6" ht="31.5" customHeight="1">
      <c r="B16" s="3" t="s">
        <v>226</v>
      </c>
      <c r="C16" s="45">
        <v>4</v>
      </c>
      <c r="D16" s="45">
        <v>1</v>
      </c>
      <c r="E16" s="46" t="s">
        <v>227</v>
      </c>
    </row>
    <row r="17" spans="1:5" ht="31.5" customHeight="1">
      <c r="B17" s="3" t="s">
        <v>228</v>
      </c>
      <c r="C17" s="45">
        <v>4</v>
      </c>
      <c r="D17" s="45">
        <v>3</v>
      </c>
      <c r="E17" s="46" t="s">
        <v>229</v>
      </c>
    </row>
    <row r="18" spans="1:5" ht="31.5" customHeight="1">
      <c r="B18" s="3" t="s">
        <v>230</v>
      </c>
      <c r="C18" s="45">
        <v>4</v>
      </c>
      <c r="D18" s="45">
        <v>3</v>
      </c>
      <c r="E18" s="46" t="s">
        <v>231</v>
      </c>
    </row>
    <row r="19" spans="1:5" ht="19.5" customHeight="1">
      <c r="B19" s="62" t="s">
        <v>232</v>
      </c>
      <c r="C19" s="62"/>
      <c r="D19" s="62"/>
      <c r="E19" s="62"/>
    </row>
    <row r="20" spans="1:5" ht="31.5" customHeight="1">
      <c r="B20" s="3" t="s">
        <v>233</v>
      </c>
      <c r="C20" s="45">
        <v>5</v>
      </c>
      <c r="D20" s="45">
        <v>2</v>
      </c>
      <c r="E20" s="46" t="s">
        <v>234</v>
      </c>
    </row>
    <row r="21" spans="1:5" ht="31.5" customHeight="1">
      <c r="B21" s="3" t="s">
        <v>235</v>
      </c>
      <c r="C21" s="45">
        <v>4</v>
      </c>
      <c r="D21" s="45">
        <v>3</v>
      </c>
      <c r="E21" s="46" t="s">
        <v>236</v>
      </c>
    </row>
    <row r="22" spans="1:5" ht="31.5" customHeight="1">
      <c r="B22" s="3" t="s">
        <v>237</v>
      </c>
      <c r="C22" s="45">
        <v>5</v>
      </c>
      <c r="D22" s="45">
        <v>3</v>
      </c>
      <c r="E22" s="46" t="s">
        <v>238</v>
      </c>
    </row>
    <row r="23" spans="1:5" ht="31.5" customHeight="1">
      <c r="B23" s="3" t="s">
        <v>239</v>
      </c>
      <c r="C23" s="45">
        <v>4</v>
      </c>
      <c r="D23" s="45">
        <v>4</v>
      </c>
      <c r="E23" s="46" t="s">
        <v>240</v>
      </c>
    </row>
    <row r="25" spans="1:5" ht="15" customHeight="1">
      <c r="B25" s="64" t="s">
        <v>241</v>
      </c>
      <c r="C25" s="64"/>
      <c r="D25" s="64"/>
      <c r="E25" s="64"/>
    </row>
    <row r="26" spans="1:5" ht="15" customHeight="1">
      <c r="A26" s="47"/>
      <c r="B26" s="47" t="s">
        <v>242</v>
      </c>
      <c r="C26" s="47" t="s">
        <v>243</v>
      </c>
      <c r="D26" s="47" t="s">
        <v>244</v>
      </c>
    </row>
    <row r="27" spans="1:5" ht="18" customHeight="1">
      <c r="B27" s="48" t="s">
        <v>245</v>
      </c>
      <c r="C27" s="49">
        <f>AVERAGE(C5:C8)</f>
        <v>3</v>
      </c>
      <c r="D27" s="50">
        <f>AVERAGE(D5:D8)</f>
        <v>4</v>
      </c>
      <c r="E27" s="51" t="s">
        <v>246</v>
      </c>
    </row>
    <row r="28" spans="1:5" ht="18" customHeight="1">
      <c r="B28" s="48" t="s">
        <v>247</v>
      </c>
      <c r="C28" s="49">
        <f>AVERAGE(C10:C13)</f>
        <v>3.5</v>
      </c>
      <c r="D28" s="50">
        <f>AVERAGE(D10:D13)</f>
        <v>3.25</v>
      </c>
      <c r="E28" s="51" t="s">
        <v>248</v>
      </c>
    </row>
    <row r="29" spans="1:5" ht="18" customHeight="1">
      <c r="B29" s="48" t="s">
        <v>249</v>
      </c>
      <c r="C29" s="49">
        <f>AVERAGE(C15:C18)</f>
        <v>4</v>
      </c>
      <c r="D29" s="50">
        <f>AVERAGE(D15:D18)</f>
        <v>2.5</v>
      </c>
      <c r="E29" s="51" t="s">
        <v>250</v>
      </c>
    </row>
    <row r="30" spans="1:5" ht="18" customHeight="1">
      <c r="B30" s="48" t="s">
        <v>251</v>
      </c>
      <c r="C30" s="49">
        <f>AVERAGE(C20:C23)</f>
        <v>4.5</v>
      </c>
      <c r="D30" s="50">
        <f>AVERAGE(D20:D23)</f>
        <v>3</v>
      </c>
      <c r="E30" s="51" t="s">
        <v>252</v>
      </c>
    </row>
    <row r="31" spans="1:5" ht="21.75" customHeight="1">
      <c r="B31" s="1" t="s">
        <v>253</v>
      </c>
      <c r="C31" s="52">
        <f>'1_Inputs'!C31*C27+'1_Inputs'!C32*C28+'1_Inputs'!C33*C29+'1_Inputs'!C34*C30</f>
        <v>3.5999999999999996</v>
      </c>
      <c r="D31" s="52">
        <f>'1_Inputs'!C31*D27+'1_Inputs'!C32*D28+'1_Inputs'!C33*D29+'1_Inputs'!C34*D30</f>
        <v>3.2874999999999996</v>
      </c>
      <c r="E31" s="51" t="s">
        <v>254</v>
      </c>
    </row>
    <row r="33" spans="2:5" ht="39.75" customHeight="1">
      <c r="B33" s="65" t="s">
        <v>255</v>
      </c>
      <c r="C33" s="65"/>
      <c r="D33" s="65"/>
      <c r="E33" s="65"/>
    </row>
  </sheetData>
  <mergeCells count="8">
    <mergeCell ref="B19:E19"/>
    <mergeCell ref="B25:E25"/>
    <mergeCell ref="B33:E33"/>
    <mergeCell ref="A1:F1"/>
    <mergeCell ref="A2:F2"/>
    <mergeCell ref="B4:E4"/>
    <mergeCell ref="B9:E9"/>
    <mergeCell ref="B14:E1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7"/>
  <sheetViews>
    <sheetView showGridLines="0" zoomScaleNormal="100" workbookViewId="0">
      <selection activeCell="B18" sqref="B18"/>
    </sheetView>
  </sheetViews>
  <sheetFormatPr defaultColWidth="8.7109375" defaultRowHeight="15"/>
  <cols>
    <col min="1" max="1" width="3" customWidth="1"/>
    <col min="2" max="2" width="123.28515625" customWidth="1"/>
  </cols>
  <sheetData>
    <row r="1" spans="1:2" ht="36" customHeight="1">
      <c r="A1" s="68" t="s">
        <v>256</v>
      </c>
      <c r="B1" s="68"/>
    </row>
    <row r="2" spans="1:2" ht="21.75" customHeight="1">
      <c r="B2" s="53" t="s">
        <v>257</v>
      </c>
    </row>
    <row r="3" spans="1:2" ht="56.1">
      <c r="B3" s="54" t="s">
        <v>258</v>
      </c>
    </row>
    <row r="4" spans="1:2" ht="21.75" customHeight="1">
      <c r="B4" s="53" t="s">
        <v>259</v>
      </c>
    </row>
    <row r="5" spans="1:2" ht="42">
      <c r="B5" s="54" t="s">
        <v>260</v>
      </c>
    </row>
    <row r="6" spans="1:2" ht="21.75" customHeight="1">
      <c r="B6" s="53" t="s">
        <v>261</v>
      </c>
    </row>
    <row r="7" spans="1:2" ht="56.1">
      <c r="B7" s="54" t="s">
        <v>262</v>
      </c>
    </row>
    <row r="8" spans="1:2" ht="21.75" customHeight="1">
      <c r="B8" s="53" t="s">
        <v>263</v>
      </c>
    </row>
    <row r="9" spans="1:2" ht="56.1">
      <c r="B9" s="54" t="s">
        <v>264</v>
      </c>
    </row>
    <row r="10" spans="1:2" ht="21.75" customHeight="1">
      <c r="B10" s="53" t="s">
        <v>265</v>
      </c>
    </row>
    <row r="11" spans="1:2" ht="56.1">
      <c r="B11" s="54" t="s">
        <v>266</v>
      </c>
    </row>
    <row r="12" spans="1:2" ht="21.75" customHeight="1">
      <c r="B12" s="53" t="s">
        <v>267</v>
      </c>
    </row>
    <row r="13" spans="1:2" ht="69.95">
      <c r="B13" s="55" t="s">
        <v>268</v>
      </c>
    </row>
    <row r="14" spans="1:2" ht="21.75" customHeight="1">
      <c r="B14" s="53" t="s">
        <v>269</v>
      </c>
    </row>
    <row r="15" spans="1:2" ht="56.1">
      <c r="B15" s="54" t="s">
        <v>270</v>
      </c>
    </row>
    <row r="16" spans="1:2" ht="21.75" customHeight="1">
      <c r="B16" s="53" t="s">
        <v>271</v>
      </c>
    </row>
    <row r="17" spans="2:2" ht="42">
      <c r="B17" s="54" t="s">
        <v>272</v>
      </c>
    </row>
  </sheetData>
  <mergeCells count="1">
    <mergeCell ref="A1:B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Ashley Geraets</cp:lastModifiedBy>
  <cp:revision>4</cp:revision>
  <dcterms:created xsi:type="dcterms:W3CDTF">2026-04-13T05:03:45Z</dcterms:created>
  <dcterms:modified xsi:type="dcterms:W3CDTF">2026-06-17T23:09:19Z</dcterms:modified>
  <cp:category/>
  <cp:contentStatus/>
</cp:coreProperties>
</file>