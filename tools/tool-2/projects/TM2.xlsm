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trlProps/ctrlProp1.xml" ContentType="application/vnd.ms-excel.controlproperties+xml"/>
  <Override PartName="/xl/calcChain.xml" ContentType="application/vnd.openxmlformats-officedocument.spreadsheetml.calcChai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5" codeName="{00000000-0000-0000-0000-000000000000}"/>
  <workbookPr codeName="ThisWorkbook"/>
  <mc:AlternateContent xmlns:mc="http://schemas.openxmlformats.org/markup-compatibility/2006">
    <mc:Choice Requires="x15">
      <x15ac:absPath xmlns:x15ac="http://schemas.microsoft.com/office/spreadsheetml/2010/11/ac" url="/Users/taylormiller/Downloads/"/>
    </mc:Choice>
  </mc:AlternateContent>
  <xr:revisionPtr revIDLastSave="0" documentId="13_ncr:1_{2242DB2E-6196-3F46-BE1F-6E16DA52728E}" xr6:coauthVersionLast="47" xr6:coauthVersionMax="47" xr10:uidLastSave="{00000000-0000-0000-0000-000000000000}"/>
  <bookViews>
    <workbookView xWindow="2860" yWindow="500" windowWidth="22740" windowHeight="15500" tabRatio="500" xr2:uid="{00000000-000D-0000-FFFF-FFFF00000000}"/>
  </bookViews>
  <sheets>
    <sheet name="Inputs &amp; Assumptions" sheetId="1" r:id="rId1"/>
    <sheet name="Dispersion Model" sheetId="2" r:id="rId2"/>
    <sheet name="Summary Dashboard" sheetId="3" r:id="rId3"/>
    <sheet name="MCDA" sheetId="4" r:id="rId4"/>
    <sheet name="AI Analysis" sheetId="5" r:id="rId5"/>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F8" i="4" l="1"/>
  <c r="F7" i="4"/>
  <c r="F6" i="4"/>
  <c r="F5" i="4"/>
  <c r="B23" i="1"/>
  <c r="B22" i="1"/>
  <c r="B17" i="1"/>
  <c r="B11" i="1"/>
  <c r="B10" i="1"/>
  <c r="E12" i="4" l="1"/>
  <c r="D12" i="4"/>
  <c r="C12" i="4"/>
  <c r="F12" i="4" s="1"/>
  <c r="B8" i="4"/>
  <c r="B7" i="4"/>
  <c r="B6" i="4"/>
  <c r="B5" i="4"/>
  <c r="B15" i="2"/>
  <c r="B14" i="2"/>
  <c r="D14" i="2" s="1"/>
  <c r="B13" i="2"/>
  <c r="B12" i="2"/>
  <c r="B11" i="2"/>
  <c r="B10" i="2"/>
  <c r="B9" i="2"/>
  <c r="B8" i="2"/>
  <c r="B7" i="2"/>
  <c r="B6" i="2"/>
  <c r="B5" i="2"/>
  <c r="B4" i="2"/>
  <c r="D4" i="2" s="1"/>
  <c r="C14" i="2" l="1"/>
  <c r="D8" i="2"/>
  <c r="F8" i="2" s="1"/>
  <c r="C15" i="2"/>
  <c r="C11" i="2"/>
  <c r="E11" i="2" s="1"/>
  <c r="C13" i="2"/>
  <c r="E13" i="2" s="1"/>
  <c r="C7" i="2"/>
  <c r="C9" i="2"/>
  <c r="C5" i="2"/>
  <c r="E5" i="2" s="1"/>
  <c r="D12" i="2"/>
  <c r="F12" i="2" s="1"/>
  <c r="F14" i="2"/>
  <c r="H14" i="2" s="1"/>
  <c r="E9" i="2"/>
  <c r="F4" i="2"/>
  <c r="E7" i="2"/>
  <c r="E15" i="2"/>
  <c r="G14" i="2"/>
  <c r="E14" i="2"/>
  <c r="C4" i="2"/>
  <c r="D5" i="2"/>
  <c r="F5" i="2" s="1"/>
  <c r="C8" i="2"/>
  <c r="D9" i="2"/>
  <c r="F9" i="2" s="1"/>
  <c r="H9" i="2" s="1"/>
  <c r="C12" i="2"/>
  <c r="D13" i="2"/>
  <c r="F13" i="2" s="1"/>
  <c r="H13" i="2" s="1"/>
  <c r="C6" i="2"/>
  <c r="D7" i="2"/>
  <c r="F7" i="2" s="1"/>
  <c r="C10" i="2"/>
  <c r="D11" i="2"/>
  <c r="F11" i="2" s="1"/>
  <c r="D15" i="2"/>
  <c r="F15" i="2" s="1"/>
  <c r="H15" i="2" s="1"/>
  <c r="D6" i="2"/>
  <c r="F6" i="2" s="1"/>
  <c r="D10" i="2"/>
  <c r="H7" i="2" l="1"/>
  <c r="G15" i="2"/>
  <c r="H11" i="2"/>
  <c r="G7" i="2"/>
  <c r="H5" i="2"/>
  <c r="C7" i="3"/>
  <c r="F10" i="2"/>
  <c r="C9" i="3" s="1"/>
  <c r="H6" i="2"/>
  <c r="G6" i="2"/>
  <c r="E6" i="2"/>
  <c r="G5" i="2"/>
  <c r="C6" i="3"/>
  <c r="G10" i="2"/>
  <c r="E10" i="2"/>
  <c r="C8" i="3" s="1"/>
  <c r="E4" i="2"/>
  <c r="H4" i="2"/>
  <c r="G4" i="2"/>
  <c r="E8" i="2"/>
  <c r="H8" i="2"/>
  <c r="G8" i="2"/>
  <c r="G13" i="2"/>
  <c r="G11" i="2"/>
  <c r="E12" i="2"/>
  <c r="H12" i="2"/>
  <c r="G12" i="2"/>
  <c r="G9" i="2"/>
  <c r="H10" i="2" l="1"/>
  <c r="D15" i="3"/>
  <c r="D13" i="3"/>
  <c r="D9" i="3"/>
  <c r="D8" i="3"/>
  <c r="D7" i="3"/>
  <c r="D14" i="3"/>
  <c r="G6" i="3"/>
  <c r="C15" i="3"/>
  <c r="C13" i="3"/>
  <c r="C14" i="3"/>
  <c r="F6" i="3"/>
  <c r="G8" i="3"/>
  <c r="F8" i="3"/>
  <c r="F9" i="3"/>
  <c r="G9" i="3"/>
  <c r="G7" i="3"/>
  <c r="F7" i="3"/>
</calcChain>
</file>

<file path=xl/sharedStrings.xml><?xml version="1.0" encoding="utf-8"?>
<sst xmlns="http://schemas.openxmlformats.org/spreadsheetml/2006/main" count="177" uniqueCount="145">
  <si>
    <t>Highway Corridor Air Quality Model — Inputs &amp; Assumptions</t>
  </si>
  <si>
    <r>
      <t xml:space="preserve">Blue = adjustable inputs  </t>
    </r>
    <r>
      <rPr>
        <i/>
        <sz val="9"/>
        <color theme="1"/>
        <rFont val="Arial"/>
        <family val="2"/>
      </rPr>
      <t>|</t>
    </r>
    <r>
      <rPr>
        <b/>
        <i/>
        <sz val="9"/>
        <color rgb="FF0000FF"/>
        <rFont val="Arial"/>
        <family val="2"/>
      </rPr>
      <t xml:space="preserve">  </t>
    </r>
  </si>
  <si>
    <r>
      <t xml:space="preserve"> Black = calculated  </t>
    </r>
    <r>
      <rPr>
        <i/>
        <sz val="9"/>
        <color theme="1"/>
        <rFont val="Arial"/>
        <family val="2"/>
      </rPr>
      <t>|</t>
    </r>
    <r>
      <rPr>
        <b/>
        <i/>
        <sz val="9"/>
        <color theme="1"/>
        <rFont val="Arial"/>
        <family val="2"/>
      </rPr>
      <t xml:space="preserve">   .</t>
    </r>
  </si>
  <si>
    <t>Source: EPA AP-42 / Pasquill-Gifford</t>
  </si>
  <si>
    <t xml:space="preserve">  Traffic &amp; Emission Inputs</t>
  </si>
  <si>
    <t>Parameter</t>
  </si>
  <si>
    <t>Value</t>
  </si>
  <si>
    <t>Units</t>
  </si>
  <si>
    <t>Notes / Source</t>
  </si>
  <si>
    <t>Traffic volume (V)</t>
  </si>
  <si>
    <t>vehicles/hr</t>
  </si>
  <si>
    <t>Peak-hour vehicle count — adjust for your corridor</t>
  </si>
  <si>
    <t>Gas emission factor (PM2.5)</t>
  </si>
  <si>
    <t>g/veh·km</t>
  </si>
  <si>
    <t>EPA AP-42 Table 1.1, light-duty gasoline</t>
  </si>
  <si>
    <t>EV emission factor (PM2.5)</t>
  </si>
  <si>
    <t>Residual tire &amp; brake wear only</t>
  </si>
  <si>
    <t>EV fleet penetration</t>
  </si>
  <si>
    <t>fraction (0–1)</t>
  </si>
  <si>
    <t>0.30 = 30% of vehicles are EV</t>
  </si>
  <si>
    <t>Source height (H)</t>
  </si>
  <si>
    <t>m</t>
  </si>
  <si>
    <t>Exhaust plume centroid, ~bumper height</t>
  </si>
  <si>
    <t>Emission rate Q — baseline (g/m/s)</t>
  </si>
  <si>
    <t>g/m·s</t>
  </si>
  <si>
    <t>All-gas fleet; no EVs. Reference for reduction calculations.</t>
  </si>
  <si>
    <t>Emission rate Q — EV scenario (g/m/s)</t>
  </si>
  <si>
    <t>95% Gas emission cut applied to remaining gas fleet</t>
  </si>
  <si>
    <t xml:space="preserve">  Meteorological Inputs</t>
  </si>
  <si>
    <t>Wind speed (u)</t>
  </si>
  <si>
    <t>m/s</t>
  </si>
  <si>
    <t>Prevailing cross-road wind (0.5–8 m/s typical)</t>
  </si>
  <si>
    <t>Stability class index (1–6)</t>
  </si>
  <si>
    <t>—</t>
  </si>
  <si>
    <t>1=A (very unstable) … 6=F (stable). C=3 typical daytime</t>
  </si>
  <si>
    <t>Stability class label</t>
  </si>
  <si>
    <t>Pasquill-Gifford classification (auto from index)</t>
  </si>
  <si>
    <t xml:space="preserve">  Barrier Parameters</t>
  </si>
  <si>
    <t>Barrier height</t>
  </si>
  <si>
    <t>Physical or vegetation barrier height (0 = no barrier)</t>
  </si>
  <si>
    <t>Max shielding factor (auto)</t>
  </si>
  <si>
    <t>Near-field concentration reduction fraction</t>
  </si>
  <si>
    <t>Decay length constant (auto)</t>
  </si>
  <si>
    <t>Distance at which barrier shielding decays to 37%</t>
  </si>
  <si>
    <t xml:space="preserve">  MCDA Criterion Weights (1=low, 5=high priority)</t>
  </si>
  <si>
    <t>Criterion</t>
  </si>
  <si>
    <t>Weight</t>
  </si>
  <si>
    <t>Description</t>
  </si>
  <si>
    <t>Technical effectiveness</t>
  </si>
  <si>
    <t>Quantitative PM2.5 reduction from model output</t>
  </si>
  <si>
    <t>Cost &amp; practicality</t>
  </si>
  <si>
    <t>Capital cost, infrastructure, implementation timeline</t>
  </si>
  <si>
    <t>Public health &amp; safety</t>
  </si>
  <si>
    <t>Exposure reduction, affected population, co-risks</t>
  </si>
  <si>
    <t>Environmental benefits</t>
  </si>
  <si>
    <t>Emissions, energy, ecosystem, co-benefits</t>
  </si>
  <si>
    <t xml:space="preserve">  Pasquill-Gifford Reference (σz = a·x·(1+b·x)^-0.5)</t>
  </si>
  <si>
    <t>Class (index)</t>
  </si>
  <si>
    <t>a param</t>
  </si>
  <si>
    <t>b param</t>
  </si>
  <si>
    <t>Typical conditions</t>
  </si>
  <si>
    <t>A (1)</t>
  </si>
  <si>
    <t>Hot sunny, wind &lt;2 m/s</t>
  </si>
  <si>
    <t>B (2)</t>
  </si>
  <si>
    <t>Sunny, 2–3 m/s</t>
  </si>
  <si>
    <t>C (3)</t>
  </si>
  <si>
    <t>Partly cloudy, light wind</t>
  </si>
  <si>
    <t>D (4)</t>
  </si>
  <si>
    <t>Overcast / neutral</t>
  </si>
  <si>
    <t>E (5)</t>
  </si>
  <si>
    <t>Evening, slightly stable</t>
  </si>
  <si>
    <t>F (6)</t>
  </si>
  <si>
    <t>Clear night, calm</t>
  </si>
  <si>
    <t>Gaussian Line Source Dispersion — PM2.5 Concentration vs. Distance</t>
  </si>
  <si>
    <t>C(x) = Q / (√2π · σz · u) · exp(−H²/2σz²)   where   σz = a·x·(1+b·x)^−0.5   (Pasquill-Gifford)</t>
  </si>
  <si>
    <t>Distance
(m)</t>
  </si>
  <si>
    <t>σz (m)</t>
  </si>
  <si>
    <t>Baseline
(µg/m³)</t>
  </si>
  <si>
    <t>EV only
(µg/m³)</t>
  </si>
  <si>
    <t>Barrier only
(µg/m³)</t>
  </si>
  <si>
    <t>Combined
(µg/m³)</t>
  </si>
  <si>
    <t>EV
reduction %</t>
  </si>
  <si>
    <t>Combined
reduction %</t>
  </si>
  <si>
    <t>WHO annual PM2.5 guideline: 5 µg/m³  |  WHO 24-hr guideline: 15 µg/m³  |  US EPA NAAQS annual: 9 µg/m³</t>
  </si>
  <si>
    <t>Air Quality Model — Summary Dashboard</t>
  </si>
  <si>
    <t>Receptor distance (m):</t>
  </si>
  <si>
    <t>Must match a row in Dispersion Model tab</t>
  </si>
  <si>
    <t xml:space="preserve">  PM2.5 concentration at receptor</t>
  </si>
  <si>
    <t>Scenario</t>
  </si>
  <si>
    <t>Conc. (µg/m³)</t>
  </si>
  <si>
    <t>vs Baseline</t>
  </si>
  <si>
    <t>WHO 24-hr limit</t>
  </si>
  <si>
    <t>vs WHO</t>
  </si>
  <si>
    <t>Assessment</t>
  </si>
  <si>
    <t>Baseline</t>
  </si>
  <si>
    <t>EV only</t>
  </si>
  <si>
    <t>Barrier only</t>
  </si>
  <si>
    <t>Combined</t>
  </si>
  <si>
    <t xml:space="preserve">  Reduction summary</t>
  </si>
  <si>
    <t>Alternative</t>
  </si>
  <si>
    <t>Abs. reduction
(µg/m³)</t>
  </si>
  <si>
    <t>% reduction</t>
  </si>
  <si>
    <t>Near-field
benefit</t>
  </si>
  <si>
    <t>Far-field
benefit</t>
  </si>
  <si>
    <t>Mechanism</t>
  </si>
  <si>
    <t>Moderate</t>
  </si>
  <si>
    <t>High - uniform all distances</t>
  </si>
  <si>
    <t>Source strength Q reduced</t>
  </si>
  <si>
    <t>High-strongest near road</t>
  </si>
  <si>
    <t>Low - decays rapidly</t>
  </si>
  <si>
    <t>Dispersion geometry modified</t>
  </si>
  <si>
    <t>Very high</t>
  </si>
  <si>
    <t>High</t>
  </si>
  <si>
    <t>Q reduced + σz enhanced</t>
  </si>
  <si>
    <t>Multi-Criteria Decision Analysis</t>
  </si>
  <si>
    <t>Scores 1–5 per criterion (blue = editable) | Weighted score = Σ(score × weight) / (5 × Σweights) × 100</t>
  </si>
  <si>
    <t xml:space="preserve">  Raw scores (1=poor, 5=excellent) — blue cells are editable</t>
  </si>
  <si>
    <t>Weight
(from Inputs)</t>
  </si>
  <si>
    <t>EV only
(score)</t>
  </si>
  <si>
    <t>Barrier only
(score)</t>
  </si>
  <si>
    <t>Combined
(score)</t>
  </si>
  <si>
    <t>Best alternative</t>
  </si>
  <si>
    <t xml:space="preserve">  Weighted scores (out of 100)</t>
  </si>
  <si>
    <t>Recommended</t>
  </si>
  <si>
    <t>Weighted total score</t>
  </si>
  <si>
    <t xml:space="preserve">  Qualitative rationale by criterion</t>
  </si>
  <si>
    <t>Uniform PM2.5 reduction at all distances. Scales with EV%. Also reduces NOₓ, CO.</t>
  </si>
  <si>
    <t>Strong near-road shielding. Effect decays rapidly beyond 200 m. No emission reduction.</t>
  </si>
  <si>
    <t>Strongest overall. Synergistic: Q↓ and σz↑. Best at all receptor distances.</t>
  </si>
  <si>
    <t>High capital for charging infrastructure and purchase subsidies. Policy-dependent timeline.</t>
  </si>
  <si>
    <t>One-time construction cost. Fastest to deploy. Low maintenance. Minimal disruption.</t>
  </si>
  <si>
    <t>Highest total investment. May qualify for combined infrastructure grants. Best long-run value.</t>
  </si>
  <si>
    <t>Public health</t>
  </si>
  <si>
    <t>Benefits all downwind receptors equally. No secondary risks. Indoor air quality also improves.</t>
  </si>
  <si>
    <t>Strongest protection within ~150 m. Limited help for distant receptors or indoor exposure.</t>
  </si>
  <si>
    <t>Widest health benefit footprint. Near-field + far-field covered. No secondary risks identified.</t>
  </si>
  <si>
    <t>Eliminates tailpipe PM2.5, NOₓ, CO. Grid emissions shift if electricity is fossil-sourced.</t>
  </si>
  <si>
    <t>Zero emission reduction — geometry only. Concrete has embodied carbon. Vegetation preferred.</t>
  </si>
  <si>
    <t>Best overall: source reduction + dispersion. Vegetation barrier adds biodiversity co-benefits.</t>
  </si>
  <si>
    <t>AI Analysis — Powered by Claude (Anthropic)</t>
  </si>
  <si>
    <t xml:space="preserve">  ← Insert your macro button here (see Step 4 above)</t>
  </si>
  <si>
    <t>Status:</t>
  </si>
  <si>
    <t>Ready — click button to generate analysis</t>
  </si>
  <si>
    <t xml:space="preserve">  AI Analysis</t>
  </si>
  <si>
    <t xml:space="preserve">### Analysis of the Highway Corridor Air Quality Model Dataset
#### Key Trends
1. **Traffic Volume and Emission Factors**:
   - The dataset indicates a peak-hour traffic volume of **2000 vehicles/hr**. This is a standard measure for modeling traffic corridors and indicates relatively high urban traffic.
   - The **ICE (Internal Combustion Engine) emission factor** for PM2.5 is significantly higher (**0.003 g/veh¬∑km**) compared to **EV (Electric Vehicle) emission factors** (**0.0002 g/veh¬∑km**). This identifies that as the penetration of EVs increases, the overall emissions of PM2.5 can be significantly reduced.
2. **EV Penetration Impact**:
   - The EV fleet penetration is set at **30%**, which is a relatively optimistic scenario reflecting ongoing shifts in the automotive industry towards electric mobility. The emissions rate for PM2.5 drops from **0.001667 g/m¬∑s** (100% ICE) to **0.0012 g/m¬∑s** when mixed with EVs at this penetration level.
3. **Meteorological Inputs**:
   - The wind speed is assumed to be **5 m/s**, which is favorable for dispersing air pollutants. This wind speed aligns with typical conditions in urban modeling.
   - The stability class index is **3**, indicating slightly unstable conditions. This classification (Pasquill-Gifford C) suggests a moderate dispersion of emissions due to wind patterns.
4. **Barrier Effectiveness**:
   - The barriers with a height of **6 m** are expected to provide a **shielding factor** of **0.7**, which means they are effective in reducing near-field concentrations of pollutants, demonstrating the importance of physical barriers in air quality management.
5. **Weighted Criteria for Decision-Making**:
    - The weights assigned for decision-making criteria indicate a higher priority on **technical effectiveness** (4) and **public health &amp; safety** (4), underscoring the importance of reducing particulate matter for public well-being.
#### Anomalies
1. **Divergence in Emission Rates**:
   - The notable difference between the baseline emission rate for an all-ICE fleet (0.001667 g/m¬∑s) and the EV scenario (0.0012 g/m¬∑s) may suggest that while the partial transition to EVs shows a reduction, there can be significant variations based on real-world conditions and other sources of PM2.5 emissions not represented in the model.
2. **High Shielding Factor**:
   - A maximum shielding factor of **0.7** is substantial and indicates very effective barriers. This might not be typical for urban settings where varied environmental factors can influence the performance of such barriers.
3. **Assumed Constant Fleet Penetration**:
   - The EV fleet penetration rate is held constant at 30%. In practice, this figure may fluctuate due to market conditions, governmental policies, and technological advancements, which can significantly affect air quality outcomes.
#### Interpretation of Results
- The dataset substantially underscores the air quality benefits of transitioning to electric vehicles, particularly in urban corridors with high traffic volumes. The significant difference in PM2.5 emissions between ICE vehicles and EVs highlights the environmental and health-focused importance of promoting EV adoption.
- The specified meteorological conditions (with moderate wind speeds and slightly unstable atmospheric conditions) suggest that emissions can disperse reasonably well. This aspect could improve air quality outcomes if emissions are reduced through vehicular transitions or effective barriers.
- The criteria for decision-making emphasize that while technical performance is essential, health and safety considerations are equally prioritized. This reflection can guide investment and infrastructure planning in urban settings to address both air quality and public health.
### Recommendations
1. **Focus on Increasing EV Penetration**: Further initiatives aimed at boosting the adoption of electric vehicles can yield substantial long-term benefits for air quality.
2. **Continuous Monitoring**: Implement ongoing monitoring of traffic patterns and emissions to revise the model as real-world conditions evolve, ensuring that data remains relevant and actionable.
3. **Assess Barrier Efficacy**: Evaluate the real-world performance of barriers since the assumed maximum shielding factor may not be consistently achievable. Optimize placements and designs based on specific corridor conditions.
4. **Public Education and Policy Upgrades**: Invest in public awareness campaigns surrounding the benefits of EVs and promote policies that incentivize shifts to cleaner technologies.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</si>
</sst>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
    <numFmt numFmtId="165" formatCode="0.0"/>
    <numFmt numFmtId="166" formatCode="0.0000"/>
    <numFmt numFmtId="167" formatCode="0.000"/>
    <numFmt numFmtId="168" formatCode="0.0%"/>
  </numFmts>
  <fonts count="49">
    <font>
      <sz val="11"/>
      <color theme="1"/>
      <name val="Calibri"/>
      <family val="2"/>
      <charset val="1"/>
    </font>
    <font>
      <b/>
      <sz val="14"/>
      <color rgb="FFFFFFFF"/>
      <name val="Arial"/>
      <family val="2"/>
    </font>
    <font>
      <i/>
      <sz val="9"/>
      <color rgb="FF888780"/>
      <name val="Arial"/>
      <family val="2"/>
    </font>
    <font>
      <b/>
      <sz val="10"/>
      <color rgb="FF0C447C"/>
      <name val="Arial"/>
      <family val="2"/>
    </font>
    <font>
      <b/>
      <sz val="10"/>
      <color rgb="FFFFFFFF"/>
      <name val="Arial"/>
      <family val="2"/>
    </font>
    <font>
      <sz val="10"/>
      <color rgb="FF000000"/>
      <name val="Arial"/>
      <family val="2"/>
    </font>
    <font>
      <b/>
      <sz val="10"/>
      <color rgb="FF0000FF"/>
      <name val="Arial"/>
      <family val="2"/>
    </font>
    <font>
      <sz val="10"/>
      <name val="Arial"/>
      <family val="2"/>
    </font>
    <font>
      <b/>
      <sz val="10"/>
      <color rgb="FF378ADD"/>
      <name val="Arial"/>
      <family val="2"/>
    </font>
    <font>
      <sz val="10"/>
      <color rgb="FF378ADD"/>
      <name val="Arial"/>
      <family val="2"/>
    </font>
    <font>
      <b/>
      <sz val="10"/>
      <color rgb="FF0F6E56"/>
      <name val="Arial"/>
      <family val="2"/>
    </font>
    <font>
      <i/>
      <sz val="10"/>
      <color rgb="FF000000"/>
      <name val="Arial"/>
      <family val="2"/>
    </font>
    <font>
      <b/>
      <sz val="10"/>
      <color rgb="FF534AB7"/>
      <name val="Arial"/>
      <family val="2"/>
    </font>
    <font>
      <i/>
      <sz val="10"/>
      <color rgb="FF7F77DD"/>
      <name val="Arial"/>
      <family val="2"/>
    </font>
    <font>
      <sz val="10"/>
      <color rgb="FF7F77DD"/>
      <name val="Arial"/>
      <family val="2"/>
    </font>
    <font>
      <b/>
      <sz val="10"/>
      <color rgb="FFBA7517"/>
      <name val="Arial"/>
      <family val="2"/>
    </font>
    <font>
      <b/>
      <sz val="10"/>
      <color rgb="FF000000"/>
      <name val="Arial"/>
      <family val="2"/>
    </font>
    <font>
      <b/>
      <sz val="10"/>
      <color rgb="FF444441"/>
      <name val="Arial"/>
      <family val="2"/>
    </font>
    <font>
      <sz val="9"/>
      <color rgb="FF000000"/>
      <name val="Arial"/>
      <family val="2"/>
    </font>
    <font>
      <b/>
      <sz val="13"/>
      <color rgb="FFFFFFFF"/>
      <name val="Arial"/>
      <family val="2"/>
    </font>
    <font>
      <sz val="10"/>
      <color rgb="FF444441"/>
      <name val="Arial"/>
      <family val="2"/>
    </font>
    <font>
      <sz val="10"/>
      <color rgb="FF1D9E75"/>
      <name val="Arial"/>
      <family val="2"/>
    </font>
    <font>
      <sz val="10"/>
      <color rgb="FF0C447C"/>
      <name val="Arial"/>
      <family val="2"/>
    </font>
    <font>
      <sz val="10"/>
      <color rgb="FF534AB7"/>
      <name val="Arial"/>
      <family val="2"/>
    </font>
    <font>
      <i/>
      <sz val="9"/>
      <color rgb="FFBA7517"/>
      <name val="Arial"/>
      <family val="2"/>
    </font>
    <font>
      <b/>
      <sz val="11"/>
      <color rgb="FF0000FF"/>
      <name val="Arial"/>
      <family val="2"/>
    </font>
    <font>
      <b/>
      <sz val="11"/>
      <color rgb="FF444441"/>
      <name val="Arial"/>
      <family val="2"/>
    </font>
    <font>
      <sz val="10"/>
      <color rgb="FF888780"/>
      <name val="Arial"/>
      <family val="2"/>
    </font>
    <font>
      <b/>
      <sz val="11"/>
      <color rgb="FF378ADD"/>
      <name val="Arial"/>
      <family val="2"/>
    </font>
    <font>
      <sz val="10"/>
      <color rgb="FF0F6E56"/>
      <name val="Arial"/>
      <family val="2"/>
    </font>
    <font>
      <b/>
      <sz val="11"/>
      <color rgb="FF1D9E75"/>
      <name val="Arial"/>
      <family val="2"/>
    </font>
    <font>
      <b/>
      <sz val="11"/>
      <color rgb="FF7F77DD"/>
      <name val="Arial"/>
      <family val="2"/>
    </font>
    <font>
      <i/>
      <sz val="9"/>
      <color rgb="FF000000"/>
      <name val="Arial"/>
      <family val="2"/>
    </font>
    <font>
      <b/>
      <sz val="11"/>
      <color rgb="FF000000"/>
      <name val="Arial"/>
      <family val="2"/>
    </font>
    <font>
      <b/>
      <sz val="14"/>
      <color rgb="FF378ADD"/>
      <name val="Arial"/>
      <family val="2"/>
    </font>
    <font>
      <b/>
      <sz val="14"/>
      <color rgb="FF1D9E75"/>
      <name val="Arial"/>
      <family val="2"/>
    </font>
    <font>
      <b/>
      <sz val="14"/>
      <color rgb="FF7F77DD"/>
      <name val="Arial"/>
      <family val="2"/>
    </font>
    <font>
      <b/>
      <sz val="11"/>
      <color rgb="FF534AB7"/>
      <name val="Arial"/>
      <family val="2"/>
    </font>
    <font>
      <sz val="9"/>
      <color rgb="FF0C447C"/>
      <name val="Arial"/>
      <family val="2"/>
    </font>
    <font>
      <sz val="9"/>
      <color rgb="FF0F6E56"/>
      <name val="Arial"/>
      <family val="2"/>
    </font>
    <font>
      <sz val="9"/>
      <color rgb="FF534AB7"/>
      <name val="Arial"/>
      <family val="2"/>
    </font>
    <font>
      <b/>
      <sz val="9"/>
      <color rgb="FF000000"/>
      <name val="Arial"/>
      <family val="2"/>
    </font>
    <font>
      <i/>
      <sz val="10"/>
      <color theme="1"/>
      <name val="Arial"/>
      <family val="2"/>
    </font>
    <font>
      <sz val="10"/>
      <color theme="1"/>
      <name val="Arial"/>
      <family val="2"/>
    </font>
    <font>
      <b/>
      <sz val="18"/>
      <color rgb="FF0C447C"/>
      <name val="Arial"/>
      <family val="2"/>
    </font>
    <font>
      <b/>
      <i/>
      <sz val="9"/>
      <color rgb="FF0000FF"/>
      <name val="Arial"/>
      <family val="2"/>
    </font>
    <font>
      <i/>
      <sz val="9"/>
      <color theme="1"/>
      <name val="Arial"/>
      <family val="2"/>
    </font>
    <font>
      <b/>
      <i/>
      <sz val="9"/>
      <color theme="1"/>
      <name val="Arial"/>
      <family val="2"/>
    </font>
    <font>
      <b/>
      <sz val="11"/>
      <color theme="1"/>
      <name val="Arial"/>
      <family val="2"/>
    </font>
  </fonts>
  <fills count="25">
    <fill>
      <patternFill patternType="none"/>
    </fill>
    <fill>
      <patternFill patternType="gray125"/>
    </fill>
    <fill>
      <patternFill patternType="solid">
        <fgColor rgb="FF1E2A3A"/>
        <bgColor rgb="FF003300"/>
      </patternFill>
    </fill>
    <fill>
      <patternFill patternType="solid">
        <fgColor rgb="FFE6F1FB"/>
        <bgColor rgb="FFEEF4FF"/>
      </patternFill>
    </fill>
    <fill>
      <patternFill patternType="solid">
        <fgColor rgb="FF0C447C"/>
        <bgColor rgb="FF333399"/>
      </patternFill>
    </fill>
    <fill>
      <patternFill patternType="solid">
        <fgColor rgb="FFE1F5EE"/>
        <bgColor rgb="FFE6F1FB"/>
      </patternFill>
    </fill>
    <fill>
      <patternFill patternType="solid">
        <fgColor rgb="FF0F6E56"/>
        <bgColor rgb="FF008080"/>
      </patternFill>
    </fill>
    <fill>
      <patternFill patternType="solid">
        <fgColor rgb="FFEEEDFE"/>
        <bgColor rgb="FFEEF4FF"/>
      </patternFill>
    </fill>
    <fill>
      <patternFill patternType="solid">
        <fgColor rgb="FF534AB7"/>
        <bgColor rgb="FF333399"/>
      </patternFill>
    </fill>
    <fill>
      <patternFill patternType="solid">
        <fgColor rgb="FFFAEEDA"/>
        <bgColor rgb="FFFCEBEB"/>
      </patternFill>
    </fill>
    <fill>
      <patternFill patternType="solid">
        <fgColor rgb="FFBA7517"/>
        <bgColor rgb="FFFF6600"/>
      </patternFill>
    </fill>
    <fill>
      <patternFill patternType="solid">
        <fgColor rgb="FFF1EFE8"/>
        <bgColor rgb="FFFAEEDA"/>
      </patternFill>
    </fill>
    <fill>
      <patternFill patternType="solid">
        <fgColor rgb="FF444441"/>
        <bgColor rgb="FF1E2A3A"/>
      </patternFill>
    </fill>
    <fill>
      <patternFill patternType="solid">
        <fgColor rgb="FFFFFFFF"/>
        <bgColor rgb="FFFFFDF5"/>
      </patternFill>
    </fill>
    <fill>
      <patternFill patternType="solid">
        <fgColor rgb="FFF7F7F7"/>
        <bgColor rgb="FFF8F8F8"/>
      </patternFill>
    </fill>
    <fill>
      <patternFill patternType="solid">
        <fgColor rgb="FFEEF4FF"/>
        <bgColor rgb="FFE6F1FB"/>
      </patternFill>
    </fill>
    <fill>
      <patternFill patternType="solid">
        <fgColor rgb="FFF8F8F8"/>
        <bgColor rgb="FFF7F7F7"/>
      </patternFill>
    </fill>
    <fill>
      <patternFill patternType="solid">
        <fgColor rgb="FFD0D0EA"/>
        <bgColor indexed="64"/>
      </patternFill>
    </fill>
    <fill>
      <patternFill patternType="solid">
        <fgColor theme="0" tint="-0.14999847407452621"/>
        <bgColor indexed="64"/>
      </patternFill>
    </fill>
    <fill>
      <patternFill patternType="solid">
        <fgColor theme="0"/>
        <bgColor indexed="64"/>
      </patternFill>
    </fill>
    <fill>
      <patternFill patternType="solid">
        <fgColor rgb="FFE6F1FB"/>
        <bgColor rgb="FFEEEDFE"/>
      </patternFill>
    </fill>
    <fill>
      <patternFill patternType="solid">
        <fgColor rgb="FFEEEDFE"/>
        <bgColor rgb="FFE6F1FB"/>
      </patternFill>
    </fill>
    <fill>
      <patternFill patternType="solid">
        <fgColor rgb="FFFAEEDA"/>
        <bgColor rgb="FFF1EFE8"/>
      </patternFill>
    </fill>
    <fill>
      <patternFill patternType="solid">
        <fgColor rgb="FFFFFFFF"/>
        <bgColor rgb="FFF7F7F7"/>
      </patternFill>
    </fill>
    <fill>
      <patternFill patternType="solid">
        <fgColor rgb="FFF7F7F7"/>
        <bgColor rgb="FFFFFFFF"/>
      </patternFill>
    </fill>
  </fills>
  <borders count="35">
    <border>
      <left/>
      <right/>
      <top/>
      <bottom/>
      <diagonal/>
    </border>
    <border>
      <left style="thin">
        <color rgb="FFE6F1FB"/>
      </left>
      <right style="thin">
        <color rgb="FFE6F1FB"/>
      </right>
      <top style="thin">
        <color rgb="FFE6F1FB"/>
      </top>
      <bottom style="thin">
        <color rgb="FFE6F1FB"/>
      </bottom>
      <diagonal/>
    </border>
    <border>
      <left style="thin">
        <color rgb="FFFFFFFF"/>
      </left>
      <right style="thin">
        <color rgb="FFFFFFFF"/>
      </right>
      <top style="thin">
        <color rgb="FFFFFFFF"/>
      </top>
      <bottom style="thin">
        <color rgb="FFFFFFFF"/>
      </bottom>
      <diagonal/>
    </border>
    <border>
      <left style="thin">
        <color rgb="FFD0D0D0"/>
      </left>
      <right style="thin">
        <color rgb="FFD0D0D0"/>
      </right>
      <top style="thin">
        <color rgb="FFD0D0D0"/>
      </top>
      <bottom style="thin">
        <color rgb="FFD0D0D0"/>
      </bottom>
      <diagonal/>
    </border>
    <border>
      <left style="thin">
        <color rgb="FFE1F5EE"/>
      </left>
      <right style="thin">
        <color rgb="FFE1F5EE"/>
      </right>
      <top style="thin">
        <color rgb="FFE1F5EE"/>
      </top>
      <bottom style="thin">
        <color rgb="FFE1F5EE"/>
      </bottom>
      <diagonal/>
    </border>
    <border>
      <left style="thin">
        <color rgb="FFEEEDFE"/>
      </left>
      <right style="thin">
        <color rgb="FFEEEDFE"/>
      </right>
      <top style="thin">
        <color rgb="FFEEEDFE"/>
      </top>
      <bottom style="thin">
        <color rgb="FFEEEDFE"/>
      </bottom>
      <diagonal/>
    </border>
    <border>
      <left style="thin">
        <color rgb="FFFAEEDA"/>
      </left>
      <right style="thin">
        <color rgb="FFFAEEDA"/>
      </right>
      <top style="thin">
        <color rgb="FFFAEEDA"/>
      </top>
      <bottom style="thin">
        <color rgb="FFFAEEDA"/>
      </bottom>
      <diagonal/>
    </border>
    <border>
      <left style="thin">
        <color rgb="FFD0D0D0"/>
      </left>
      <right/>
      <top style="thin">
        <color rgb="FFD0D0D0"/>
      </top>
      <bottom style="thin">
        <color rgb="FFD0D0D0"/>
      </bottom>
      <diagonal/>
    </border>
    <border>
      <left style="thin">
        <color rgb="FFF1EFE8"/>
      </left>
      <right style="thin">
        <color rgb="FFF1EFE8"/>
      </right>
      <top style="thin">
        <color rgb="FFF1EFE8"/>
      </top>
      <bottom style="thin">
        <color rgb="FFF1EFE8"/>
      </bottom>
      <diagonal/>
    </border>
    <border>
      <left style="thin">
        <color rgb="FFAAAAAA"/>
      </left>
      <right/>
      <top style="thin">
        <color rgb="FFAAAAAA"/>
      </top>
      <bottom style="thin">
        <color rgb="FFAAAAAA"/>
      </bottom>
      <diagonal/>
    </border>
    <border>
      <left/>
      <right/>
      <top/>
      <bottom style="thin">
        <color rgb="FFD0D0D0"/>
      </bottom>
      <diagonal/>
    </border>
    <border>
      <left/>
      <right/>
      <top style="thin">
        <color rgb="FFD0D0D0"/>
      </top>
      <bottom/>
      <diagonal/>
    </border>
    <border>
      <left style="thin">
        <color rgb="FFFFFFFF"/>
      </left>
      <right style="thin">
        <color rgb="FFFFFFFF"/>
      </right>
      <top style="thin">
        <color rgb="FFFFFFFF"/>
      </top>
      <bottom/>
      <diagonal/>
    </border>
    <border>
      <left style="medium">
        <color indexed="64"/>
      </left>
      <right style="medium">
        <color indexed="64"/>
      </right>
      <top style="medium">
        <color indexed="64"/>
      </top>
      <bottom style="thin">
        <color rgb="FFD0D0D0"/>
      </bottom>
      <diagonal/>
    </border>
    <border>
      <left/>
      <right style="thin">
        <color rgb="FFD0D0D0"/>
      </right>
      <top style="thin">
        <color rgb="FFD0D0D0"/>
      </top>
      <bottom style="thin">
        <color rgb="FFD0D0D0"/>
      </bottom>
      <diagonal/>
    </border>
    <border>
      <left style="medium">
        <color indexed="64"/>
      </left>
      <right style="medium">
        <color indexed="64"/>
      </right>
      <top style="thin">
        <color rgb="FFD0D0D0"/>
      </top>
      <bottom style="thin">
        <color rgb="FFD0D0D0"/>
      </bottom>
      <diagonal/>
    </border>
    <border>
      <left style="medium">
        <color indexed="64"/>
      </left>
      <right style="medium">
        <color indexed="64"/>
      </right>
      <top style="thin">
        <color rgb="FFD0D0D0"/>
      </top>
      <bottom style="medium">
        <color indexed="64"/>
      </bottom>
      <diagonal/>
    </border>
    <border>
      <left style="thin">
        <color rgb="FFD0D0D0"/>
      </left>
      <right style="thin">
        <color rgb="FFD0D0D0"/>
      </right>
      <top/>
      <bottom style="thin">
        <color rgb="FFD0D0D0"/>
      </bottom>
      <diagonal/>
    </border>
    <border>
      <left style="medium">
        <color indexed="64"/>
      </left>
      <right style="medium">
        <color indexed="64"/>
      </right>
      <top style="medium">
        <color indexed="64"/>
      </top>
      <bottom style="medium">
        <color indexed="64"/>
      </bottom>
      <diagonal/>
    </border>
    <border>
      <left/>
      <right/>
      <top style="thin">
        <color rgb="FFD0D0D0"/>
      </top>
      <bottom style="thin">
        <color rgb="FFD0D0D0"/>
      </bottom>
      <diagonal/>
    </border>
    <border>
      <left style="thin">
        <color rgb="FFFAEEDA"/>
      </left>
      <right/>
      <top style="thin">
        <color rgb="FFFAEEDA"/>
      </top>
      <bottom style="thin">
        <color rgb="FFFAEEDA"/>
      </bottom>
      <diagonal/>
    </border>
    <border>
      <left/>
      <right/>
      <top style="thin">
        <color rgb="FFFAEEDA"/>
      </top>
      <bottom style="thin">
        <color rgb="FFFAEEDA"/>
      </bottom>
      <diagonal/>
    </border>
    <border>
      <left/>
      <right style="thin">
        <color rgb="FFFAEEDA"/>
      </right>
      <top style="thin">
        <color rgb="FFFAEEDA"/>
      </top>
      <bottom style="thin">
        <color rgb="FFFAEEDA"/>
      </bottom>
      <diagonal/>
    </border>
    <border>
      <left style="thin">
        <color rgb="FFF1EFE8"/>
      </left>
      <right/>
      <top style="thin">
        <color rgb="FFF1EFE8"/>
      </top>
      <bottom style="thin">
        <color rgb="FFF1EFE8"/>
      </bottom>
      <diagonal/>
    </border>
    <border>
      <left/>
      <right/>
      <top style="thin">
        <color rgb="FFF1EFE8"/>
      </top>
      <bottom style="thin">
        <color rgb="FFF1EFE8"/>
      </bottom>
      <diagonal/>
    </border>
    <border>
      <left/>
      <right style="thin">
        <color rgb="FFF1EFE8"/>
      </right>
      <top style="thin">
        <color rgb="FFF1EFE8"/>
      </top>
      <bottom style="thin">
        <color rgb="FFF1EFE8"/>
      </bottom>
      <diagonal/>
    </border>
    <border>
      <left style="thin">
        <color rgb="FFFFFFFF"/>
      </left>
      <right/>
      <top style="thin">
        <color rgb="FFF1EFE8"/>
      </top>
      <bottom/>
      <diagonal/>
    </border>
    <border>
      <left/>
      <right style="thin">
        <color rgb="FFFFFFFF"/>
      </right>
      <top style="thin">
        <color rgb="FFF1EFE8"/>
      </top>
      <bottom/>
      <diagonal/>
    </border>
    <border>
      <left style="thin">
        <color rgb="FFFFFFFF"/>
      </left>
      <right/>
      <top style="thin">
        <color rgb="FFFFFFFF"/>
      </top>
      <bottom/>
      <diagonal/>
    </border>
    <border>
      <left/>
      <right/>
      <top style="thin">
        <color rgb="FFFFFFFF"/>
      </top>
      <bottom/>
      <diagonal/>
    </border>
    <border>
      <left style="thin">
        <color rgb="FFF1EFE8"/>
      </left>
      <right/>
      <top/>
      <bottom style="thin">
        <color rgb="FFD0D0D0"/>
      </bottom>
      <diagonal/>
    </border>
    <border>
      <left style="thin">
        <color rgb="FFEEEDFE"/>
      </left>
      <right/>
      <top/>
      <bottom/>
      <diagonal/>
    </border>
    <border>
      <left style="thin">
        <color rgb="FFFAEEDA"/>
      </left>
      <right/>
      <top/>
      <bottom/>
      <diagonal/>
    </border>
    <border>
      <left style="thin">
        <color rgb="FFFFFFFF"/>
      </left>
      <right style="thin">
        <color rgb="FFD0D0D0"/>
      </right>
      <top style="thin">
        <color rgb="FFFFFFFF"/>
      </top>
      <bottom style="thin">
        <color rgb="FFD0D0D0"/>
      </bottom>
      <diagonal/>
    </border>
    <border>
      <left style="thin">
        <color rgb="FFD0D0D0"/>
      </left>
      <right style="thin">
        <color rgb="FFD0D0D0"/>
      </right>
      <top style="thin">
        <color rgb="FFFFFFFF"/>
      </top>
      <bottom style="thin">
        <color rgb="FFD0D0D0"/>
      </bottom>
      <diagonal/>
    </border>
  </borders>
  <cellStyleXfs count="1">
    <xf numFmtId="0" fontId="0" fillId="0" borderId="0"/>
  </cellStyleXfs>
  <cellXfs count="167">
    <xf numFmtId="0" fontId="0" fillId="0" borderId="0" xfId="0"/>
    <xf numFmtId="0" fontId="3" fillId="3" borderId="1" xfId="0" applyFont="1" applyFill="1" applyBorder="1" applyAlignment="1">
      <alignment horizontal="left" vertical="center"/>
    </xf>
    <xf numFmtId="0" fontId="0" fillId="3" borderId="1" xfId="0" applyFill="1" applyBorder="1"/>
    <xf numFmtId="0" fontId="4" fillId="4" borderId="2" xfId="0" applyFont="1" applyFill="1" applyBorder="1" applyAlignment="1">
      <alignment horizontal="center" vertical="center" wrapText="1"/>
    </xf>
    <xf numFmtId="0" fontId="5" fillId="0" borderId="3" xfId="0" applyFont="1" applyBorder="1" applyAlignment="1">
      <alignment horizontal="left" vertical="center"/>
    </xf>
    <xf numFmtId="0" fontId="5" fillId="0" borderId="3" xfId="0" applyFont="1" applyBorder="1" applyAlignment="1">
      <alignment horizontal="center" vertical="center"/>
    </xf>
    <xf numFmtId="0" fontId="2" fillId="0" borderId="3" xfId="0" applyFont="1" applyBorder="1" applyAlignment="1">
      <alignment horizontal="left" vertical="center" wrapText="1"/>
    </xf>
    <xf numFmtId="0" fontId="2" fillId="0" borderId="3" xfId="0" applyFont="1" applyBorder="1" applyAlignment="1">
      <alignment horizontal="left" vertical="center"/>
    </xf>
    <xf numFmtId="0" fontId="8" fillId="0" borderId="3" xfId="0" applyFont="1" applyBorder="1" applyAlignment="1">
      <alignment horizontal="left" vertical="center"/>
    </xf>
    <xf numFmtId="0" fontId="10" fillId="5" borderId="4" xfId="0" applyFont="1" applyFill="1" applyBorder="1" applyAlignment="1">
      <alignment horizontal="left" vertical="center"/>
    </xf>
    <xf numFmtId="0" fontId="0" fillId="5" borderId="4" xfId="0" applyFill="1" applyBorder="1"/>
    <xf numFmtId="0" fontId="4" fillId="6" borderId="2" xfId="0" applyFont="1" applyFill="1" applyBorder="1" applyAlignment="1">
      <alignment horizontal="center" vertical="center" wrapText="1"/>
    </xf>
    <xf numFmtId="0" fontId="12" fillId="7" borderId="5" xfId="0" applyFont="1" applyFill="1" applyBorder="1" applyAlignment="1">
      <alignment horizontal="left" vertical="center"/>
    </xf>
    <xf numFmtId="0" fontId="0" fillId="7" borderId="5" xfId="0" applyFill="1" applyBorder="1"/>
    <xf numFmtId="0" fontId="4" fillId="8" borderId="2" xfId="0" applyFont="1" applyFill="1" applyBorder="1" applyAlignment="1">
      <alignment horizontal="center" vertical="center" wrapText="1"/>
    </xf>
    <xf numFmtId="0" fontId="13" fillId="0" borderId="3" xfId="0" applyFont="1" applyBorder="1" applyAlignment="1">
      <alignment horizontal="left" vertical="center"/>
    </xf>
    <xf numFmtId="0" fontId="15" fillId="9" borderId="6" xfId="0" applyFont="1" applyFill="1" applyBorder="1" applyAlignment="1">
      <alignment horizontal="left" vertical="center"/>
    </xf>
    <xf numFmtId="0" fontId="0" fillId="9" borderId="6" xfId="0" applyFill="1" applyBorder="1"/>
    <xf numFmtId="0" fontId="4" fillId="10" borderId="2" xfId="0" applyFont="1" applyFill="1" applyBorder="1" applyAlignment="1">
      <alignment horizontal="center" vertical="center" wrapText="1"/>
    </xf>
    <xf numFmtId="0" fontId="16" fillId="0" borderId="3" xfId="0" applyFont="1" applyBorder="1" applyAlignment="1">
      <alignment horizontal="left" vertical="center"/>
    </xf>
    <xf numFmtId="0" fontId="17" fillId="11" borderId="8" xfId="0" applyFont="1" applyFill="1" applyBorder="1" applyAlignment="1">
      <alignment horizontal="left" vertical="center"/>
    </xf>
    <xf numFmtId="0" fontId="0" fillId="11" borderId="8" xfId="0" applyFill="1" applyBorder="1"/>
    <xf numFmtId="0" fontId="4" fillId="12" borderId="2" xfId="0" applyFont="1" applyFill="1" applyBorder="1" applyAlignment="1">
      <alignment horizontal="center" vertical="center" wrapText="1"/>
    </xf>
    <xf numFmtId="0" fontId="5" fillId="13" borderId="3" xfId="0" applyFont="1" applyFill="1" applyBorder="1" applyAlignment="1">
      <alignment horizontal="center" vertical="center"/>
    </xf>
    <xf numFmtId="2" fontId="5" fillId="13" borderId="3" xfId="0" applyNumberFormat="1" applyFont="1" applyFill="1" applyBorder="1" applyAlignment="1">
      <alignment horizontal="center" vertical="center"/>
    </xf>
    <xf numFmtId="0" fontId="5" fillId="11" borderId="3" xfId="0" applyFont="1" applyFill="1" applyBorder="1" applyAlignment="1">
      <alignment horizontal="center" vertical="center"/>
    </xf>
    <xf numFmtId="2" fontId="5" fillId="11" borderId="3" xfId="0" applyNumberFormat="1" applyFont="1" applyFill="1" applyBorder="1" applyAlignment="1">
      <alignment horizontal="center" vertical="center"/>
    </xf>
    <xf numFmtId="166" fontId="5" fillId="11" borderId="3" xfId="0" applyNumberFormat="1" applyFont="1" applyFill="1" applyBorder="1" applyAlignment="1">
      <alignment horizontal="center" vertical="center"/>
    </xf>
    <xf numFmtId="0" fontId="18" fillId="11" borderId="3" xfId="0" applyFont="1" applyFill="1" applyBorder="1" applyAlignment="1">
      <alignment horizontal="left" vertical="center"/>
    </xf>
    <xf numFmtId="0" fontId="4" fillId="2" borderId="2" xfId="0" applyFont="1" applyFill="1" applyBorder="1" applyAlignment="1">
      <alignment horizontal="center" vertical="center" wrapText="1"/>
    </xf>
    <xf numFmtId="1" fontId="5" fillId="13" borderId="3" xfId="0" applyNumberFormat="1" applyFont="1" applyFill="1" applyBorder="1" applyAlignment="1">
      <alignment horizontal="center" vertical="center"/>
    </xf>
    <xf numFmtId="167" fontId="20" fillId="13" borderId="3" xfId="0" applyNumberFormat="1" applyFont="1" applyFill="1" applyBorder="1" applyAlignment="1">
      <alignment horizontal="center" vertical="center"/>
    </xf>
    <xf numFmtId="167" fontId="9" fillId="13" borderId="3" xfId="0" applyNumberFormat="1" applyFont="1" applyFill="1" applyBorder="1" applyAlignment="1">
      <alignment horizontal="center" vertical="center"/>
    </xf>
    <xf numFmtId="167" fontId="21" fillId="13" borderId="3" xfId="0" applyNumberFormat="1" applyFont="1" applyFill="1" applyBorder="1" applyAlignment="1">
      <alignment horizontal="center" vertical="center"/>
    </xf>
    <xf numFmtId="167" fontId="14" fillId="13" borderId="3" xfId="0" applyNumberFormat="1" applyFont="1" applyFill="1" applyBorder="1" applyAlignment="1">
      <alignment horizontal="center" vertical="center"/>
    </xf>
    <xf numFmtId="168" fontId="22" fillId="13" borderId="3" xfId="0" applyNumberFormat="1" applyFont="1" applyFill="1" applyBorder="1" applyAlignment="1">
      <alignment horizontal="center" vertical="center"/>
    </xf>
    <xf numFmtId="168" fontId="23" fillId="13" borderId="3" xfId="0" applyNumberFormat="1" applyFont="1" applyFill="1" applyBorder="1" applyAlignment="1">
      <alignment horizontal="center" vertical="center"/>
    </xf>
    <xf numFmtId="1" fontId="5" fillId="14" borderId="3" xfId="0" applyNumberFormat="1" applyFont="1" applyFill="1" applyBorder="1" applyAlignment="1">
      <alignment horizontal="center" vertical="center"/>
    </xf>
    <xf numFmtId="2" fontId="5" fillId="14" borderId="3" xfId="0" applyNumberFormat="1" applyFont="1" applyFill="1" applyBorder="1" applyAlignment="1">
      <alignment horizontal="center" vertical="center"/>
    </xf>
    <xf numFmtId="167" fontId="20" fillId="14" borderId="3" xfId="0" applyNumberFormat="1" applyFont="1" applyFill="1" applyBorder="1" applyAlignment="1">
      <alignment horizontal="center" vertical="center"/>
    </xf>
    <xf numFmtId="167" fontId="9" fillId="14" borderId="3" xfId="0" applyNumberFormat="1" applyFont="1" applyFill="1" applyBorder="1" applyAlignment="1">
      <alignment horizontal="center" vertical="center"/>
    </xf>
    <xf numFmtId="167" fontId="21" fillId="14" borderId="3" xfId="0" applyNumberFormat="1" applyFont="1" applyFill="1" applyBorder="1" applyAlignment="1">
      <alignment horizontal="center" vertical="center"/>
    </xf>
    <xf numFmtId="167" fontId="14" fillId="14" borderId="3" xfId="0" applyNumberFormat="1" applyFont="1" applyFill="1" applyBorder="1" applyAlignment="1">
      <alignment horizontal="center" vertical="center"/>
    </xf>
    <xf numFmtId="168" fontId="22" fillId="14" borderId="3" xfId="0" applyNumberFormat="1" applyFont="1" applyFill="1" applyBorder="1" applyAlignment="1">
      <alignment horizontal="center" vertical="center"/>
    </xf>
    <xf numFmtId="168" fontId="23" fillId="14" borderId="3" xfId="0" applyNumberFormat="1" applyFont="1" applyFill="1" applyBorder="1" applyAlignment="1">
      <alignment horizontal="center" vertical="center"/>
    </xf>
    <xf numFmtId="0" fontId="25" fillId="0" borderId="3" xfId="0" applyFont="1" applyBorder="1" applyAlignment="1">
      <alignment horizontal="center" vertical="center"/>
    </xf>
    <xf numFmtId="0" fontId="16" fillId="13" borderId="3" xfId="0" applyFont="1" applyFill="1" applyBorder="1" applyAlignment="1">
      <alignment horizontal="left" vertical="center"/>
    </xf>
    <xf numFmtId="167" fontId="26" fillId="13" borderId="3" xfId="0" applyNumberFormat="1" applyFont="1" applyFill="1" applyBorder="1" applyAlignment="1">
      <alignment horizontal="center" vertical="center"/>
    </xf>
    <xf numFmtId="0" fontId="27" fillId="13" borderId="3" xfId="0" applyFont="1" applyFill="1" applyBorder="1" applyAlignment="1">
      <alignment horizontal="center" vertical="center"/>
    </xf>
    <xf numFmtId="168" fontId="5" fillId="13" borderId="3" xfId="0" applyNumberFormat="1" applyFont="1" applyFill="1" applyBorder="1" applyAlignment="1">
      <alignment horizontal="center" vertical="center"/>
    </xf>
    <xf numFmtId="0" fontId="18" fillId="13" borderId="3" xfId="0" applyFont="1" applyFill="1" applyBorder="1" applyAlignment="1">
      <alignment horizontal="center" vertical="center" wrapText="1"/>
    </xf>
    <xf numFmtId="0" fontId="16" fillId="3" borderId="3" xfId="0" applyFont="1" applyFill="1" applyBorder="1" applyAlignment="1">
      <alignment horizontal="left" vertical="center"/>
    </xf>
    <xf numFmtId="167" fontId="28" fillId="3" borderId="3" xfId="0" applyNumberFormat="1" applyFont="1" applyFill="1" applyBorder="1" applyAlignment="1">
      <alignment horizontal="center" vertical="center"/>
    </xf>
    <xf numFmtId="168" fontId="29" fillId="3" borderId="3" xfId="0" applyNumberFormat="1" applyFont="1" applyFill="1" applyBorder="1" applyAlignment="1">
      <alignment horizontal="center" vertical="center"/>
    </xf>
    <xf numFmtId="0" fontId="5" fillId="3" borderId="3" xfId="0" applyFont="1" applyFill="1" applyBorder="1" applyAlignment="1">
      <alignment horizontal="center" vertical="center"/>
    </xf>
    <xf numFmtId="168" fontId="5" fillId="3" borderId="3" xfId="0" applyNumberFormat="1" applyFont="1" applyFill="1" applyBorder="1" applyAlignment="1">
      <alignment horizontal="center" vertical="center"/>
    </xf>
    <xf numFmtId="0" fontId="18" fillId="3" borderId="3" xfId="0" applyFont="1" applyFill="1" applyBorder="1" applyAlignment="1">
      <alignment horizontal="center" vertical="center" wrapText="1"/>
    </xf>
    <xf numFmtId="0" fontId="16" fillId="5" borderId="3" xfId="0" applyFont="1" applyFill="1" applyBorder="1" applyAlignment="1">
      <alignment horizontal="left" vertical="center"/>
    </xf>
    <xf numFmtId="167" fontId="30" fillId="5" borderId="3" xfId="0" applyNumberFormat="1" applyFont="1" applyFill="1" applyBorder="1" applyAlignment="1">
      <alignment horizontal="center" vertical="center"/>
    </xf>
    <xf numFmtId="168" fontId="29" fillId="5" borderId="3" xfId="0" applyNumberFormat="1" applyFont="1" applyFill="1" applyBorder="1" applyAlignment="1">
      <alignment horizontal="center" vertical="center"/>
    </xf>
    <xf numFmtId="0" fontId="5" fillId="5" borderId="3" xfId="0" applyFont="1" applyFill="1" applyBorder="1" applyAlignment="1">
      <alignment horizontal="center" vertical="center"/>
    </xf>
    <xf numFmtId="168" fontId="5" fillId="5" borderId="3" xfId="0" applyNumberFormat="1" applyFont="1" applyFill="1" applyBorder="1" applyAlignment="1">
      <alignment horizontal="center" vertical="center"/>
    </xf>
    <xf numFmtId="0" fontId="18" fillId="5" borderId="3" xfId="0" applyFont="1" applyFill="1" applyBorder="1" applyAlignment="1">
      <alignment horizontal="center" vertical="center" wrapText="1"/>
    </xf>
    <xf numFmtId="0" fontId="16" fillId="7" borderId="3" xfId="0" applyFont="1" applyFill="1" applyBorder="1" applyAlignment="1">
      <alignment horizontal="left" vertical="center"/>
    </xf>
    <xf numFmtId="167" fontId="31" fillId="7" borderId="3" xfId="0" applyNumberFormat="1" applyFont="1" applyFill="1" applyBorder="1" applyAlignment="1">
      <alignment horizontal="center" vertical="center"/>
    </xf>
    <xf numFmtId="168" fontId="29" fillId="7" borderId="3" xfId="0" applyNumberFormat="1" applyFont="1" applyFill="1" applyBorder="1" applyAlignment="1">
      <alignment horizontal="center" vertical="center"/>
    </xf>
    <xf numFmtId="0" fontId="5" fillId="7" borderId="3" xfId="0" applyFont="1" applyFill="1" applyBorder="1" applyAlignment="1">
      <alignment horizontal="center" vertical="center"/>
    </xf>
    <xf numFmtId="168" fontId="5" fillId="7" borderId="3" xfId="0" applyNumberFormat="1" applyFont="1" applyFill="1" applyBorder="1" applyAlignment="1">
      <alignment horizontal="center" vertical="center"/>
    </xf>
    <xf numFmtId="0" fontId="18" fillId="7" borderId="3" xfId="0" applyFont="1" applyFill="1" applyBorder="1" applyAlignment="1">
      <alignment horizontal="center" vertical="center" wrapText="1"/>
    </xf>
    <xf numFmtId="167" fontId="5" fillId="13" borderId="3" xfId="0" applyNumberFormat="1" applyFont="1" applyFill="1" applyBorder="1" applyAlignment="1">
      <alignment horizontal="center" vertical="center"/>
    </xf>
    <xf numFmtId="168" fontId="29" fillId="13" borderId="3" xfId="0" applyNumberFormat="1" applyFont="1" applyFill="1" applyBorder="1" applyAlignment="1">
      <alignment horizontal="center" vertical="center"/>
    </xf>
    <xf numFmtId="0" fontId="2" fillId="13" borderId="3" xfId="0" applyFont="1" applyFill="1" applyBorder="1" applyAlignment="1">
      <alignment horizontal="left" vertical="center" wrapText="1"/>
    </xf>
    <xf numFmtId="0" fontId="16" fillId="14" borderId="3" xfId="0" applyFont="1" applyFill="1" applyBorder="1" applyAlignment="1">
      <alignment horizontal="left" vertical="center"/>
    </xf>
    <xf numFmtId="167" fontId="5" fillId="14" borderId="3" xfId="0" applyNumberFormat="1" applyFont="1" applyFill="1" applyBorder="1" applyAlignment="1">
      <alignment horizontal="center" vertical="center"/>
    </xf>
    <xf numFmtId="168" fontId="29" fillId="14" borderId="3" xfId="0" applyNumberFormat="1" applyFont="1" applyFill="1" applyBorder="1" applyAlignment="1">
      <alignment horizontal="center" vertical="center"/>
    </xf>
    <xf numFmtId="0" fontId="2" fillId="14" borderId="3" xfId="0" applyFont="1" applyFill="1" applyBorder="1" applyAlignment="1">
      <alignment horizontal="left" vertical="center" wrapText="1"/>
    </xf>
    <xf numFmtId="0" fontId="16" fillId="13" borderId="3" xfId="0" applyFont="1" applyFill="1" applyBorder="1" applyAlignment="1">
      <alignment horizontal="left" vertical="center" wrapText="1"/>
    </xf>
    <xf numFmtId="0" fontId="16" fillId="14" borderId="3" xfId="0" applyFont="1" applyFill="1" applyBorder="1" applyAlignment="1">
      <alignment horizontal="left" vertical="center" wrapText="1"/>
    </xf>
    <xf numFmtId="0" fontId="33" fillId="0" borderId="3" xfId="0" applyFont="1" applyBorder="1" applyAlignment="1">
      <alignment horizontal="left" vertical="center"/>
    </xf>
    <xf numFmtId="165" fontId="34" fillId="7" borderId="3" xfId="0" applyNumberFormat="1" applyFont="1" applyFill="1" applyBorder="1" applyAlignment="1">
      <alignment horizontal="center" vertical="center"/>
    </xf>
    <xf numFmtId="165" fontId="35" fillId="7" borderId="3" xfId="0" applyNumberFormat="1" applyFont="1" applyFill="1" applyBorder="1" applyAlignment="1">
      <alignment horizontal="center" vertical="center"/>
    </xf>
    <xf numFmtId="165" fontId="36" fillId="7" borderId="3" xfId="0" applyNumberFormat="1" applyFont="1" applyFill="1" applyBorder="1" applyAlignment="1">
      <alignment horizontal="center" vertical="center"/>
    </xf>
    <xf numFmtId="0" fontId="6" fillId="15" borderId="3" xfId="0" applyFont="1" applyFill="1" applyBorder="1" applyAlignment="1">
      <alignment horizontal="left" vertical="center"/>
    </xf>
    <xf numFmtId="0" fontId="41" fillId="0" borderId="3" xfId="0" applyFont="1" applyBorder="1" applyAlignment="1">
      <alignment horizontal="left" vertical="center"/>
    </xf>
    <xf numFmtId="0" fontId="43" fillId="13" borderId="0" xfId="0" applyFont="1" applyFill="1" applyAlignment="1">
      <alignment vertical="top" wrapText="1"/>
    </xf>
    <xf numFmtId="0" fontId="45" fillId="17" borderId="0" xfId="0" applyFont="1" applyFill="1" applyAlignment="1">
      <alignment horizontal="right"/>
    </xf>
    <xf numFmtId="0" fontId="47" fillId="18" borderId="0" xfId="0" applyFont="1" applyFill="1" applyAlignment="1">
      <alignment horizontal="left" vertical="center"/>
    </xf>
    <xf numFmtId="0" fontId="46" fillId="19" borderId="0" xfId="0" applyFont="1" applyFill="1" applyAlignment="1">
      <alignment vertical="center"/>
    </xf>
    <xf numFmtId="0" fontId="2" fillId="19" borderId="0" xfId="0" applyFont="1" applyFill="1" applyAlignment="1">
      <alignment vertical="center"/>
    </xf>
    <xf numFmtId="0" fontId="3" fillId="20" borderId="1" xfId="0" applyFont="1" applyFill="1" applyBorder="1" applyAlignment="1">
      <alignment horizontal="left" vertical="center"/>
    </xf>
    <xf numFmtId="0" fontId="0" fillId="20" borderId="1" xfId="0" applyFill="1" applyBorder="1"/>
    <xf numFmtId="0" fontId="4" fillId="4" borderId="12" xfId="0" applyFont="1" applyFill="1" applyBorder="1" applyAlignment="1">
      <alignment horizontal="center" vertical="center" wrapText="1"/>
    </xf>
    <xf numFmtId="0" fontId="5" fillId="0" borderId="7" xfId="0" applyFont="1" applyBorder="1" applyAlignment="1">
      <alignment horizontal="left" vertical="center"/>
    </xf>
    <xf numFmtId="0" fontId="6" fillId="17" borderId="13" xfId="0" applyFont="1" applyFill="1" applyBorder="1" applyAlignment="1">
      <alignment horizontal="center" vertical="center"/>
    </xf>
    <xf numFmtId="0" fontId="5" fillId="0" borderId="14" xfId="0" applyFont="1" applyBorder="1" applyAlignment="1">
      <alignment horizontal="center" vertical="center"/>
    </xf>
    <xf numFmtId="0" fontId="6" fillId="17" borderId="15" xfId="0" applyFont="1" applyFill="1" applyBorder="1" applyAlignment="1">
      <alignment horizontal="center" vertical="center"/>
    </xf>
    <xf numFmtId="2" fontId="6" fillId="17" borderId="15" xfId="0" applyNumberFormat="1" applyFont="1" applyFill="1" applyBorder="1" applyAlignment="1">
      <alignment horizontal="center" vertical="center"/>
    </xf>
    <xf numFmtId="0" fontId="6" fillId="17" borderId="16" xfId="0" applyFont="1" applyFill="1" applyBorder="1" applyAlignment="1">
      <alignment horizontal="center" vertical="center"/>
    </xf>
    <xf numFmtId="164" fontId="7" fillId="18" borderId="17" xfId="0" applyNumberFormat="1" applyFont="1" applyFill="1" applyBorder="1" applyAlignment="1">
      <alignment horizontal="center" vertical="center"/>
    </xf>
    <xf numFmtId="164" fontId="43" fillId="18" borderId="3" xfId="0" applyNumberFormat="1" applyFont="1" applyFill="1" applyBorder="1" applyAlignment="1">
      <alignment horizontal="center" vertical="center"/>
    </xf>
    <xf numFmtId="0" fontId="4" fillId="6" borderId="12" xfId="0" applyFont="1" applyFill="1" applyBorder="1" applyAlignment="1">
      <alignment horizontal="center" vertical="center" wrapText="1"/>
    </xf>
    <xf numFmtId="165" fontId="6" fillId="17" borderId="13" xfId="0" applyNumberFormat="1" applyFont="1" applyFill="1" applyBorder="1" applyAlignment="1">
      <alignment horizontal="center" vertical="center"/>
    </xf>
    <xf numFmtId="0" fontId="5" fillId="0" borderId="14" xfId="0" applyFont="1" applyBorder="1" applyAlignment="1">
      <alignment horizontal="left" vertical="center"/>
    </xf>
    <xf numFmtId="0" fontId="42" fillId="0" borderId="3" xfId="0" applyFont="1" applyBorder="1" applyAlignment="1">
      <alignment horizontal="left" vertical="center"/>
    </xf>
    <xf numFmtId="0" fontId="11" fillId="18" borderId="17" xfId="0" applyFont="1" applyFill="1" applyBorder="1" applyAlignment="1">
      <alignment horizontal="center" vertical="center"/>
    </xf>
    <xf numFmtId="0" fontId="12" fillId="21" borderId="5" xfId="0" applyFont="1" applyFill="1" applyBorder="1" applyAlignment="1">
      <alignment horizontal="left" vertical="center"/>
    </xf>
    <xf numFmtId="0" fontId="0" fillId="21" borderId="5" xfId="0" applyFill="1" applyBorder="1"/>
    <xf numFmtId="0" fontId="4" fillId="8" borderId="12" xfId="0" applyFont="1" applyFill="1" applyBorder="1" applyAlignment="1">
      <alignment horizontal="center" vertical="center" wrapText="1"/>
    </xf>
    <xf numFmtId="165" fontId="6" fillId="17" borderId="18" xfId="0" applyNumberFormat="1" applyFont="1" applyFill="1" applyBorder="1" applyAlignment="1">
      <alignment horizontal="center" vertical="center"/>
    </xf>
    <xf numFmtId="2" fontId="43" fillId="0" borderId="17" xfId="0" applyNumberFormat="1" applyFont="1" applyBorder="1" applyAlignment="1">
      <alignment horizontal="center" vertical="center"/>
    </xf>
    <xf numFmtId="165" fontId="43" fillId="0" borderId="3" xfId="0" applyNumberFormat="1" applyFont="1" applyBorder="1" applyAlignment="1">
      <alignment horizontal="center" vertical="center"/>
    </xf>
    <xf numFmtId="0" fontId="4" fillId="10" borderId="12" xfId="0" applyFont="1" applyFill="1" applyBorder="1" applyAlignment="1">
      <alignment horizontal="center" vertical="center" wrapText="1"/>
    </xf>
    <xf numFmtId="0" fontId="16" fillId="0" borderId="7" xfId="0" applyFont="1" applyBorder="1" applyAlignment="1">
      <alignment horizontal="left" vertical="center"/>
    </xf>
    <xf numFmtId="0" fontId="5" fillId="23" borderId="3" xfId="0" applyFont="1" applyFill="1" applyBorder="1" applyAlignment="1">
      <alignment horizontal="center" vertical="center"/>
    </xf>
    <xf numFmtId="2" fontId="5" fillId="23" borderId="3" xfId="0" applyNumberFormat="1" applyFont="1" applyFill="1" applyBorder="1" applyAlignment="1">
      <alignment horizontal="center" vertical="center"/>
    </xf>
    <xf numFmtId="166" fontId="5" fillId="23" borderId="3" xfId="0" applyNumberFormat="1" applyFont="1" applyFill="1" applyBorder="1" applyAlignment="1">
      <alignment horizontal="center" vertical="center"/>
    </xf>
    <xf numFmtId="0" fontId="18" fillId="23" borderId="3" xfId="0" applyFont="1" applyFill="1" applyBorder="1" applyAlignment="1">
      <alignment horizontal="left" vertical="center"/>
    </xf>
    <xf numFmtId="0" fontId="18" fillId="23" borderId="3" xfId="0" applyFont="1" applyFill="1" applyBorder="1" applyAlignment="1">
      <alignment horizontal="left" vertical="center" wrapText="1"/>
    </xf>
    <xf numFmtId="0" fontId="18" fillId="24" borderId="3" xfId="0" applyFont="1" applyFill="1" applyBorder="1" applyAlignment="1">
      <alignment horizontal="left" vertical="center" wrapText="1"/>
    </xf>
    <xf numFmtId="0" fontId="48" fillId="13" borderId="3" xfId="0" applyFont="1" applyFill="1" applyBorder="1" applyAlignment="1">
      <alignment horizontal="center" vertical="center"/>
    </xf>
    <xf numFmtId="0" fontId="48" fillId="14" borderId="3" xfId="0" applyFont="1" applyFill="1" applyBorder="1" applyAlignment="1">
      <alignment horizontal="center" vertical="center"/>
    </xf>
    <xf numFmtId="0" fontId="6" fillId="13" borderId="3" xfId="0" applyFont="1" applyFill="1" applyBorder="1" applyAlignment="1">
      <alignment horizontal="center" vertical="center"/>
    </xf>
    <xf numFmtId="0" fontId="6" fillId="14" borderId="3" xfId="0" applyFont="1" applyFill="1" applyBorder="1" applyAlignment="1">
      <alignment horizontal="center" vertical="center"/>
    </xf>
    <xf numFmtId="0" fontId="16" fillId="23" borderId="3" xfId="0" applyFont="1" applyFill="1" applyBorder="1" applyAlignment="1">
      <alignment horizontal="left" vertical="center" wrapText="1"/>
    </xf>
    <xf numFmtId="0" fontId="16" fillId="24" borderId="3" xfId="0" applyFont="1" applyFill="1" applyBorder="1" applyAlignment="1">
      <alignment horizontal="left" vertical="center" wrapText="1"/>
    </xf>
    <xf numFmtId="0" fontId="17" fillId="11" borderId="23" xfId="0" applyFont="1" applyFill="1" applyBorder="1" applyAlignment="1">
      <alignment horizontal="left" vertical="center"/>
    </xf>
    <xf numFmtId="0" fontId="17" fillId="11" borderId="24" xfId="0" applyFont="1" applyFill="1" applyBorder="1" applyAlignment="1">
      <alignment horizontal="left" vertical="center"/>
    </xf>
    <xf numFmtId="0" fontId="17" fillId="11" borderId="25" xfId="0" applyFont="1" applyFill="1" applyBorder="1" applyAlignment="1">
      <alignment horizontal="left" vertical="center"/>
    </xf>
    <xf numFmtId="0" fontId="2" fillId="0" borderId="19" xfId="0" applyFont="1" applyBorder="1" applyAlignment="1">
      <alignment horizontal="left" vertical="center" wrapText="1"/>
    </xf>
    <xf numFmtId="0" fontId="2" fillId="0" borderId="7" xfId="0" applyFont="1" applyBorder="1" applyAlignment="1">
      <alignment horizontal="left" vertical="center" wrapText="1"/>
    </xf>
    <xf numFmtId="0" fontId="1" fillId="2" borderId="0" xfId="0" applyFont="1" applyFill="1" applyAlignment="1">
      <alignment horizontal="center" vertical="center"/>
    </xf>
    <xf numFmtId="0" fontId="15" fillId="22" borderId="20" xfId="0" applyFont="1" applyFill="1" applyBorder="1" applyAlignment="1">
      <alignment horizontal="left" vertical="center"/>
    </xf>
    <xf numFmtId="0" fontId="15" fillId="22" borderId="21" xfId="0" applyFont="1" applyFill="1" applyBorder="1" applyAlignment="1">
      <alignment horizontal="left" vertical="center"/>
    </xf>
    <xf numFmtId="0" fontId="15" fillId="22" borderId="22" xfId="0" applyFont="1" applyFill="1" applyBorder="1" applyAlignment="1">
      <alignment horizontal="left" vertical="center"/>
    </xf>
    <xf numFmtId="0" fontId="19" fillId="2" borderId="0" xfId="0" applyFont="1" applyFill="1" applyAlignment="1">
      <alignment horizontal="center" vertical="center"/>
    </xf>
    <xf numFmtId="0" fontId="46" fillId="0" borderId="0" xfId="0" applyFont="1" applyAlignment="1">
      <alignment horizontal="center" vertical="center"/>
    </xf>
    <xf numFmtId="0" fontId="24" fillId="0" borderId="0" xfId="0" applyFont="1" applyAlignment="1">
      <alignment horizontal="center" vertical="center"/>
    </xf>
    <xf numFmtId="0" fontId="38" fillId="23" borderId="3" xfId="0" applyFont="1" applyFill="1" applyBorder="1" applyAlignment="1">
      <alignment horizontal="center" vertical="center" wrapText="1"/>
    </xf>
    <xf numFmtId="0" fontId="39" fillId="23" borderId="3" xfId="0" applyFont="1" applyFill="1" applyBorder="1" applyAlignment="1">
      <alignment horizontal="center" vertical="center" wrapText="1"/>
    </xf>
    <xf numFmtId="0" fontId="40" fillId="23" borderId="3" xfId="0" applyFont="1" applyFill="1" applyBorder="1" applyAlignment="1">
      <alignment horizontal="center" vertical="center" wrapText="1"/>
    </xf>
    <xf numFmtId="0" fontId="38" fillId="24" borderId="3" xfId="0" applyFont="1" applyFill="1" applyBorder="1" applyAlignment="1">
      <alignment horizontal="center" vertical="center" wrapText="1"/>
    </xf>
    <xf numFmtId="0" fontId="39" fillId="24" borderId="3" xfId="0" applyFont="1" applyFill="1" applyBorder="1" applyAlignment="1">
      <alignment horizontal="center" vertical="center" wrapText="1"/>
    </xf>
    <xf numFmtId="0" fontId="40" fillId="24" borderId="3" xfId="0" applyFont="1" applyFill="1" applyBorder="1" applyAlignment="1">
      <alignment horizontal="center" vertical="center" wrapText="1"/>
    </xf>
    <xf numFmtId="0" fontId="38" fillId="23" borderId="7" xfId="0" applyFont="1" applyFill="1" applyBorder="1" applyAlignment="1">
      <alignment horizontal="center" vertical="center" wrapText="1"/>
    </xf>
    <xf numFmtId="0" fontId="38" fillId="23" borderId="14" xfId="0" applyFont="1" applyFill="1" applyBorder="1" applyAlignment="1">
      <alignment horizontal="center" vertical="center" wrapText="1"/>
    </xf>
    <xf numFmtId="0" fontId="4" fillId="12" borderId="26" xfId="0" applyFont="1" applyFill="1" applyBorder="1" applyAlignment="1">
      <alignment horizontal="center" vertical="center" wrapText="1"/>
    </xf>
    <xf numFmtId="0" fontId="4" fillId="12" borderId="27" xfId="0" applyFont="1" applyFill="1" applyBorder="1" applyAlignment="1">
      <alignment horizontal="center" vertical="center" wrapText="1"/>
    </xf>
    <xf numFmtId="0" fontId="4" fillId="12" borderId="28" xfId="0" applyFont="1" applyFill="1" applyBorder="1" applyAlignment="1">
      <alignment horizontal="center" vertical="center" wrapText="1"/>
    </xf>
    <xf numFmtId="0" fontId="4" fillId="12" borderId="29" xfId="0" applyFont="1" applyFill="1" applyBorder="1" applyAlignment="1">
      <alignment horizontal="center" vertical="center" wrapText="1"/>
    </xf>
    <xf numFmtId="0" fontId="4" fillId="12" borderId="3" xfId="0" applyFont="1" applyFill="1" applyBorder="1" applyAlignment="1">
      <alignment horizontal="center" vertical="center" wrapText="1"/>
    </xf>
    <xf numFmtId="0" fontId="0" fillId="11" borderId="30" xfId="0" applyFill="1" applyBorder="1" applyAlignment="1">
      <alignment horizontal="center"/>
    </xf>
    <xf numFmtId="0" fontId="0" fillId="11" borderId="10" xfId="0" applyFill="1" applyBorder="1" applyAlignment="1">
      <alignment horizontal="center"/>
    </xf>
    <xf numFmtId="0" fontId="0" fillId="21" borderId="31" xfId="0" applyFill="1" applyBorder="1" applyAlignment="1">
      <alignment horizontal="center"/>
    </xf>
    <xf numFmtId="0" fontId="0" fillId="21" borderId="0" xfId="0" applyFill="1" applyAlignment="1">
      <alignment horizontal="center"/>
    </xf>
    <xf numFmtId="0" fontId="4" fillId="8" borderId="3" xfId="0" applyFont="1" applyFill="1" applyBorder="1" applyAlignment="1">
      <alignment horizontal="center" vertical="center" wrapText="1"/>
    </xf>
    <xf numFmtId="0" fontId="37" fillId="21" borderId="3" xfId="0" applyFont="1" applyFill="1" applyBorder="1" applyAlignment="1">
      <alignment horizontal="center" vertical="center"/>
    </xf>
    <xf numFmtId="0" fontId="0" fillId="9" borderId="32" xfId="0" applyFill="1" applyBorder="1" applyAlignment="1">
      <alignment horizontal="center"/>
    </xf>
    <xf numFmtId="0" fontId="0" fillId="9" borderId="0" xfId="0" applyFill="1" applyAlignment="1">
      <alignment horizontal="center"/>
    </xf>
    <xf numFmtId="0" fontId="4" fillId="10" borderId="33" xfId="0" applyFont="1" applyFill="1" applyBorder="1" applyAlignment="1">
      <alignment horizontal="center" vertical="center" wrapText="1"/>
    </xf>
    <xf numFmtId="0" fontId="4" fillId="10" borderId="34" xfId="0" applyFont="1" applyFill="1" applyBorder="1" applyAlignment="1">
      <alignment horizontal="center" vertical="center" wrapText="1"/>
    </xf>
    <xf numFmtId="0" fontId="32" fillId="23" borderId="3" xfId="0" applyFont="1" applyFill="1" applyBorder="1" applyAlignment="1">
      <alignment horizontal="center" vertical="center"/>
    </xf>
    <xf numFmtId="0" fontId="32" fillId="24" borderId="3" xfId="0" applyFont="1" applyFill="1" applyBorder="1" applyAlignment="1">
      <alignment horizontal="center" vertical="center"/>
    </xf>
    <xf numFmtId="0" fontId="2" fillId="16" borderId="9" xfId="0" applyFont="1" applyFill="1" applyBorder="1" applyAlignment="1">
      <alignment horizontal="center" vertical="center"/>
    </xf>
    <xf numFmtId="0" fontId="44" fillId="3" borderId="11" xfId="0" applyFont="1" applyFill="1" applyBorder="1" applyAlignment="1">
      <alignment horizontal="center" vertical="center"/>
    </xf>
    <xf numFmtId="0" fontId="44" fillId="3" borderId="10" xfId="0" applyFont="1" applyFill="1" applyBorder="1" applyAlignment="1">
      <alignment horizontal="center" vertical="center"/>
    </xf>
    <xf numFmtId="0" fontId="43" fillId="13" borderId="11" xfId="0" applyFont="1" applyFill="1" applyBorder="1" applyAlignment="1">
      <alignment horizontal="center" vertical="top" wrapText="1"/>
    </xf>
    <xf numFmtId="0" fontId="43" fillId="13" borderId="0" xfId="0" applyFont="1" applyFill="1" applyAlignment="1">
      <alignment horizontal="center" vertical="top" wrapText="1"/>
    </xf>
  </cellXfs>
  <cellStyles count="1">
    <cellStyle name="Normal" xfId="0" builtinId="0"/>
  </cellStyles>
  <dxfs count="4">
    <dxf>
      <font>
        <color rgb="FF9C0006"/>
      </font>
    </dxf>
    <dxf>
      <font>
        <color rgb="FF9C0006"/>
      </font>
    </dxf>
    <dxf>
      <font>
        <color rgb="FF9C0006"/>
      </font>
    </dxf>
    <dxf>
      <font>
        <color rgb="FF9C0006"/>
      </font>
    </dxf>
  </dxfs>
  <tableStyles count="0" defaultTableStyle="TableStyleMedium2" defaultPivotStyle="PivotStyleLight16"/>
  <colors>
    <indexedColors>
      <rgbColor rgb="FF000000"/>
      <rgbColor rgb="FFFFFFFF"/>
      <rgbColor rgb="FFFF0000"/>
      <rgbColor rgb="FF00FF00"/>
      <rgbColor rgb="FF0000FF"/>
      <rgbColor rgb="FFF7F7F7"/>
      <rgbColor rgb="FFFF00FF"/>
      <rgbColor rgb="FF00FFFF"/>
      <rgbColor rgb="FF800000"/>
      <rgbColor rgb="FF008000"/>
      <rgbColor rgb="FF000080"/>
      <rgbColor rgb="FFBA7517"/>
      <rgbColor rgb="FF800080"/>
      <rgbColor rgb="FF0F6E56"/>
      <rgbColor rgb="FFAAAAAA"/>
      <rgbColor rgb="FF888780"/>
      <rgbColor rgb="FF7F77DD"/>
      <rgbColor rgb="FF993366"/>
      <rgbColor rgb="FFFFFDF5"/>
      <rgbColor rgb="FFE1F5EE"/>
      <rgbColor rgb="FF660066"/>
      <rgbColor rgb="FFFF8080"/>
      <rgbColor rgb="FF0066CC"/>
      <rgbColor rgb="FFD0D0D0"/>
      <rgbColor rgb="FF000080"/>
      <rgbColor rgb="FFFF00FF"/>
      <rgbColor rgb="FFF8F8F8"/>
      <rgbColor rgb="FF00FFFF"/>
      <rgbColor rgb="FF800080"/>
      <rgbColor rgb="FF800000"/>
      <rgbColor rgb="FF008080"/>
      <rgbColor rgb="FF0000FF"/>
      <rgbColor rgb="FF00CCFF"/>
      <rgbColor rgb="FFE6F1FB"/>
      <rgbColor rgb="FFF1EFE8"/>
      <rgbColor rgb="FFFAEEDA"/>
      <rgbColor rgb="FFEEEDFE"/>
      <rgbColor rgb="FFFCEBEB"/>
      <rgbColor rgb="FFFFEEEE"/>
      <rgbColor rgb="FFD9D9D9"/>
      <rgbColor rgb="FF378ADD"/>
      <rgbColor rgb="FF33CCCC"/>
      <rgbColor rgb="FF99CC00"/>
      <rgbColor rgb="FFEEF4FF"/>
      <rgbColor rgb="FFFF9900"/>
      <rgbColor rgb="FFFF6600"/>
      <rgbColor rgb="FF534AB7"/>
      <rgbColor rgb="FF878787"/>
      <rgbColor rgb="FF0C447C"/>
      <rgbColor rgb="FF1D9E75"/>
      <rgbColor rgb="FF003300"/>
      <rgbColor rgb="FF444441"/>
      <rgbColor rgb="FFA32D2D"/>
      <rgbColor rgb="FF993366"/>
      <rgbColor rgb="FF333399"/>
      <rgbColor rgb="FF1E2A3A"/>
      <rgbColor rgb="00003366"/>
      <rgbColor rgb="00339966"/>
      <rgbColor rgb="00003300"/>
      <rgbColor rgb="00333300"/>
      <rgbColor rgb="00993300"/>
      <rgbColor rgb="00993366"/>
      <rgbColor rgb="00333399"/>
      <rgbColor rgb="00333333"/>
    </indexed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autoTitleDeleted val="1"/>
    <c:plotArea>
      <c:layout/>
      <c:lineChart>
        <c:grouping val="standard"/>
        <c:varyColors val="0"/>
        <c:ser>
          <c:idx val="0"/>
          <c:order val="0"/>
          <c:tx>
            <c:strRef>
              <c:f>'Dispersion Model'!$C$3</c:f>
              <c:strCache>
                <c:ptCount val="1"/>
                <c:pt idx="0">
                  <c:v>Baseline
(µg/m³)</c:v>
                </c:pt>
              </c:strCache>
            </c:strRef>
          </c:tx>
          <c:spPr>
            <a:ln w="18000">
              <a:solidFill>
                <a:srgbClr val="888780"/>
              </a:solidFill>
              <a:round/>
            </a:ln>
          </c:spPr>
          <c:marker>
            <c:symbol val="none"/>
          </c:marker>
          <c:dLbls>
            <c:spPr>
              <a:noFill/>
              <a:ln>
                <a:noFill/>
              </a:ln>
              <a:effectLst/>
            </c:spPr>
            <c:txPr>
              <a:bodyPr wrap="square"/>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numRef>
              <c:f>'Dispersion Model'!$A$4:$A$15</c:f>
              <c:numCache>
                <c:formatCode>0</c:formatCode>
                <c:ptCount val="12"/>
                <c:pt idx="0">
                  <c:v>5</c:v>
                </c:pt>
                <c:pt idx="1">
                  <c:v>10</c:v>
                </c:pt>
                <c:pt idx="2">
                  <c:v>20</c:v>
                </c:pt>
                <c:pt idx="3">
                  <c:v>30</c:v>
                </c:pt>
                <c:pt idx="4">
                  <c:v>50</c:v>
                </c:pt>
                <c:pt idx="5">
                  <c:v>75</c:v>
                </c:pt>
                <c:pt idx="6">
                  <c:v>100</c:v>
                </c:pt>
                <c:pt idx="7">
                  <c:v>150</c:v>
                </c:pt>
                <c:pt idx="8">
                  <c:v>200</c:v>
                </c:pt>
                <c:pt idx="9">
                  <c:v>300</c:v>
                </c:pt>
                <c:pt idx="10">
                  <c:v>400</c:v>
                </c:pt>
                <c:pt idx="11">
                  <c:v>500</c:v>
                </c:pt>
              </c:numCache>
            </c:numRef>
          </c:cat>
          <c:val>
            <c:numRef>
              <c:f>'Dispersion Model'!$C$4:$C$15</c:f>
              <c:numCache>
                <c:formatCode>0.000</c:formatCode>
                <c:ptCount val="12"/>
                <c:pt idx="0">
                  <c:v>142.1839737359274</c:v>
                </c:pt>
                <c:pt idx="1">
                  <c:v>96.989026795614549</c:v>
                </c:pt>
                <c:pt idx="2">
                  <c:v>52.458916461359301</c:v>
                </c:pt>
                <c:pt idx="3">
                  <c:v>35.514558028405361</c:v>
                </c:pt>
                <c:pt idx="4">
                  <c:v>21.509075039177706</c:v>
                </c:pt>
                <c:pt idx="5">
                  <c:v>14.408069504059135</c:v>
                </c:pt>
                <c:pt idx="6">
                  <c:v>10.841417393205054</c:v>
                </c:pt>
                <c:pt idx="7">
                  <c:v>7.2671742582471461</c:v>
                </c:pt>
                <c:pt idx="8">
                  <c:v>5.4778940498712263</c:v>
                </c:pt>
                <c:pt idx="9">
                  <c:v>3.687418585045394</c:v>
                </c:pt>
                <c:pt idx="10">
                  <c:v>2.7916772405563286</c:v>
                </c:pt>
                <c:pt idx="11">
                  <c:v>2.2539807418152638</c:v>
                </c:pt>
              </c:numCache>
            </c:numRef>
          </c:val>
          <c:smooth val="1"/>
          <c:extLst>
            <c:ext xmlns:c16="http://schemas.microsoft.com/office/drawing/2014/chart" uri="{C3380CC4-5D6E-409C-BE32-E72D297353CC}">
              <c16:uniqueId val="{00000000-87A0-7D48-97F2-6B85CAC5B924}"/>
            </c:ext>
          </c:extLst>
        </c:ser>
        <c:ser>
          <c:idx val="1"/>
          <c:order val="1"/>
          <c:tx>
            <c:strRef>
              <c:f>'Dispersion Model'!$D$3</c:f>
              <c:strCache>
                <c:ptCount val="1"/>
                <c:pt idx="0">
                  <c:v>EV only
(µg/m³)</c:v>
                </c:pt>
              </c:strCache>
            </c:strRef>
          </c:tx>
          <c:spPr>
            <a:ln w="18000">
              <a:solidFill>
                <a:srgbClr val="378ADD"/>
              </a:solidFill>
              <a:round/>
            </a:ln>
          </c:spPr>
          <c:marker>
            <c:symbol val="none"/>
          </c:marker>
          <c:dLbls>
            <c:spPr>
              <a:noFill/>
              <a:ln>
                <a:noFill/>
              </a:ln>
              <a:effectLst/>
            </c:spPr>
            <c:txPr>
              <a:bodyPr wrap="square"/>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numRef>
              <c:f>'Dispersion Model'!$A$4:$A$15</c:f>
              <c:numCache>
                <c:formatCode>0</c:formatCode>
                <c:ptCount val="12"/>
                <c:pt idx="0">
                  <c:v>5</c:v>
                </c:pt>
                <c:pt idx="1">
                  <c:v>10</c:v>
                </c:pt>
                <c:pt idx="2">
                  <c:v>20</c:v>
                </c:pt>
                <c:pt idx="3">
                  <c:v>30</c:v>
                </c:pt>
                <c:pt idx="4">
                  <c:v>50</c:v>
                </c:pt>
                <c:pt idx="5">
                  <c:v>75</c:v>
                </c:pt>
                <c:pt idx="6">
                  <c:v>100</c:v>
                </c:pt>
                <c:pt idx="7">
                  <c:v>150</c:v>
                </c:pt>
                <c:pt idx="8">
                  <c:v>200</c:v>
                </c:pt>
                <c:pt idx="9">
                  <c:v>300</c:v>
                </c:pt>
                <c:pt idx="10">
                  <c:v>400</c:v>
                </c:pt>
                <c:pt idx="11">
                  <c:v>500</c:v>
                </c:pt>
              </c:numCache>
            </c:numRef>
          </c:cat>
          <c:val>
            <c:numRef>
              <c:f>'Dispersion Model'!$D$4:$D$15</c:f>
              <c:numCache>
                <c:formatCode>0.000</c:formatCode>
                <c:ptCount val="12"/>
                <c:pt idx="0">
                  <c:v>104.86068063024643</c:v>
                </c:pt>
                <c:pt idx="1">
                  <c:v>71.529407261765726</c:v>
                </c:pt>
                <c:pt idx="2">
                  <c:v>38.688450890252483</c:v>
                </c:pt>
                <c:pt idx="3">
                  <c:v>26.191986545948954</c:v>
                </c:pt>
                <c:pt idx="4">
                  <c:v>15.862942841393552</c:v>
                </c:pt>
                <c:pt idx="5">
                  <c:v>10.625951259243609</c:v>
                </c:pt>
                <c:pt idx="6">
                  <c:v>7.9955453274887276</c:v>
                </c:pt>
                <c:pt idx="7">
                  <c:v>5.3595410154572702</c:v>
                </c:pt>
                <c:pt idx="8">
                  <c:v>4.0399468617800292</c:v>
                </c:pt>
                <c:pt idx="9">
                  <c:v>2.7194712064709772</c:v>
                </c:pt>
                <c:pt idx="10">
                  <c:v>2.0588619649102924</c:v>
                </c:pt>
                <c:pt idx="11">
                  <c:v>1.6623107970887565</c:v>
                </c:pt>
              </c:numCache>
            </c:numRef>
          </c:val>
          <c:smooth val="1"/>
          <c:extLst>
            <c:ext xmlns:c16="http://schemas.microsoft.com/office/drawing/2014/chart" uri="{C3380CC4-5D6E-409C-BE32-E72D297353CC}">
              <c16:uniqueId val="{00000001-87A0-7D48-97F2-6B85CAC5B924}"/>
            </c:ext>
          </c:extLst>
        </c:ser>
        <c:ser>
          <c:idx val="2"/>
          <c:order val="2"/>
          <c:tx>
            <c:strRef>
              <c:f>'Dispersion Model'!$E$3</c:f>
              <c:strCache>
                <c:ptCount val="1"/>
                <c:pt idx="0">
                  <c:v>Barrier only
(µg/m³)</c:v>
                </c:pt>
              </c:strCache>
            </c:strRef>
          </c:tx>
          <c:spPr>
            <a:ln w="18000">
              <a:solidFill>
                <a:srgbClr val="1D9E75"/>
              </a:solidFill>
              <a:round/>
            </a:ln>
          </c:spPr>
          <c:marker>
            <c:symbol val="none"/>
          </c:marker>
          <c:dLbls>
            <c:spPr>
              <a:noFill/>
              <a:ln>
                <a:noFill/>
              </a:ln>
              <a:effectLst/>
            </c:spPr>
            <c:txPr>
              <a:bodyPr wrap="square"/>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numRef>
              <c:f>'Dispersion Model'!$A$4:$A$15</c:f>
              <c:numCache>
                <c:formatCode>0</c:formatCode>
                <c:ptCount val="12"/>
                <c:pt idx="0">
                  <c:v>5</c:v>
                </c:pt>
                <c:pt idx="1">
                  <c:v>10</c:v>
                </c:pt>
                <c:pt idx="2">
                  <c:v>20</c:v>
                </c:pt>
                <c:pt idx="3">
                  <c:v>30</c:v>
                </c:pt>
                <c:pt idx="4">
                  <c:v>50</c:v>
                </c:pt>
                <c:pt idx="5">
                  <c:v>75</c:v>
                </c:pt>
                <c:pt idx="6">
                  <c:v>100</c:v>
                </c:pt>
                <c:pt idx="7">
                  <c:v>150</c:v>
                </c:pt>
                <c:pt idx="8">
                  <c:v>200</c:v>
                </c:pt>
                <c:pt idx="9">
                  <c:v>300</c:v>
                </c:pt>
                <c:pt idx="10">
                  <c:v>400</c:v>
                </c:pt>
                <c:pt idx="11">
                  <c:v>500</c:v>
                </c:pt>
              </c:numCache>
            </c:numRef>
          </c:cat>
          <c:val>
            <c:numRef>
              <c:f>'Dispersion Model'!$E$4:$E$15</c:f>
              <c:numCache>
                <c:formatCode>0.000</c:formatCode>
                <c:ptCount val="12"/>
                <c:pt idx="0">
                  <c:v>141.75919418771596</c:v>
                </c:pt>
                <c:pt idx="1">
                  <c:v>96.411915256666987</c:v>
                </c:pt>
                <c:pt idx="2">
                  <c:v>51.839785636766159</c:v>
                </c:pt>
                <c:pt idx="3">
                  <c:v>34.891014472292035</c:v>
                </c:pt>
                <c:pt idx="4">
                  <c:v>20.889957592383571</c:v>
                </c:pt>
                <c:pt idx="5">
                  <c:v>13.798592098037918</c:v>
                </c:pt>
                <c:pt idx="6">
                  <c:v>10.242249341944589</c:v>
                </c:pt>
                <c:pt idx="7">
                  <c:v>6.6884766863722973</c:v>
                </c:pt>
                <c:pt idx="8">
                  <c:v>4.9188819289034775</c:v>
                </c:pt>
                <c:pt idx="9">
                  <c:v>3.1650995681577672</c:v>
                </c:pt>
                <c:pt idx="10">
                  <c:v>2.3026595929575535</c:v>
                </c:pt>
                <c:pt idx="11">
                  <c:v>1.7951950320266217</c:v>
                </c:pt>
              </c:numCache>
            </c:numRef>
          </c:val>
          <c:smooth val="1"/>
          <c:extLst>
            <c:ext xmlns:c16="http://schemas.microsoft.com/office/drawing/2014/chart" uri="{C3380CC4-5D6E-409C-BE32-E72D297353CC}">
              <c16:uniqueId val="{00000002-87A0-7D48-97F2-6B85CAC5B924}"/>
            </c:ext>
          </c:extLst>
        </c:ser>
        <c:ser>
          <c:idx val="3"/>
          <c:order val="3"/>
          <c:tx>
            <c:strRef>
              <c:f>'Dispersion Model'!$F$3</c:f>
              <c:strCache>
                <c:ptCount val="1"/>
                <c:pt idx="0">
                  <c:v>Combined
(µg/m³)</c:v>
                </c:pt>
              </c:strCache>
            </c:strRef>
          </c:tx>
          <c:spPr>
            <a:ln w="18000">
              <a:solidFill>
                <a:srgbClr val="7F77DD"/>
              </a:solidFill>
              <a:round/>
            </a:ln>
          </c:spPr>
          <c:marker>
            <c:symbol val="none"/>
          </c:marker>
          <c:dLbls>
            <c:spPr>
              <a:noFill/>
              <a:ln>
                <a:noFill/>
              </a:ln>
              <a:effectLst/>
            </c:spPr>
            <c:txPr>
              <a:bodyPr wrap="square"/>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numRef>
              <c:f>'Dispersion Model'!$A$4:$A$15</c:f>
              <c:numCache>
                <c:formatCode>0</c:formatCode>
                <c:ptCount val="12"/>
                <c:pt idx="0">
                  <c:v>5</c:v>
                </c:pt>
                <c:pt idx="1">
                  <c:v>10</c:v>
                </c:pt>
                <c:pt idx="2">
                  <c:v>20</c:v>
                </c:pt>
                <c:pt idx="3">
                  <c:v>30</c:v>
                </c:pt>
                <c:pt idx="4">
                  <c:v>50</c:v>
                </c:pt>
                <c:pt idx="5">
                  <c:v>75</c:v>
                </c:pt>
                <c:pt idx="6">
                  <c:v>100</c:v>
                </c:pt>
                <c:pt idx="7">
                  <c:v>150</c:v>
                </c:pt>
                <c:pt idx="8">
                  <c:v>200</c:v>
                </c:pt>
                <c:pt idx="9">
                  <c:v>300</c:v>
                </c:pt>
                <c:pt idx="10">
                  <c:v>400</c:v>
                </c:pt>
                <c:pt idx="11">
                  <c:v>500</c:v>
                </c:pt>
              </c:numCache>
            </c:numRef>
          </c:cat>
          <c:val>
            <c:numRef>
              <c:f>'Dispersion Model'!$F$4:$F$15</c:f>
              <c:numCache>
                <c:formatCode>0.000</c:formatCode>
                <c:ptCount val="12"/>
                <c:pt idx="0">
                  <c:v>104.5474057134405</c:v>
                </c:pt>
                <c:pt idx="1">
                  <c:v>71.103787501791899</c:v>
                </c:pt>
                <c:pt idx="2">
                  <c:v>38.23184190711504</c:v>
                </c:pt>
                <c:pt idx="3">
                  <c:v>25.732123173315379</c:v>
                </c:pt>
                <c:pt idx="4">
                  <c:v>15.406343724382879</c:v>
                </c:pt>
                <c:pt idx="5">
                  <c:v>10.176461672302962</c:v>
                </c:pt>
                <c:pt idx="6">
                  <c:v>7.5536588896841348</c:v>
                </c:pt>
                <c:pt idx="7">
                  <c:v>4.9327515561995696</c:v>
                </c:pt>
                <c:pt idx="8">
                  <c:v>3.6276754225663144</c:v>
                </c:pt>
                <c:pt idx="9">
                  <c:v>2.3342609315163525</c:v>
                </c:pt>
                <c:pt idx="10">
                  <c:v>1.6982114498061958</c:v>
                </c:pt>
                <c:pt idx="11">
                  <c:v>1.3239563361196329</c:v>
                </c:pt>
              </c:numCache>
            </c:numRef>
          </c:val>
          <c:smooth val="1"/>
          <c:extLst>
            <c:ext xmlns:c16="http://schemas.microsoft.com/office/drawing/2014/chart" uri="{C3380CC4-5D6E-409C-BE32-E72D297353CC}">
              <c16:uniqueId val="{00000003-87A0-7D48-97F2-6B85CAC5B924}"/>
            </c:ext>
          </c:extLst>
        </c:ser>
        <c:dLbls>
          <c:showLegendKey val="0"/>
          <c:showVal val="0"/>
          <c:showCatName val="0"/>
          <c:showSerName val="0"/>
          <c:showPercent val="0"/>
          <c:showBubbleSize val="0"/>
        </c:dLbls>
        <c:hiLowLines>
          <c:spPr>
            <a:ln w="0">
              <a:noFill/>
            </a:ln>
          </c:spPr>
        </c:hiLowLines>
        <c:smooth val="0"/>
        <c:axId val="20850761"/>
        <c:axId val="74283142"/>
      </c:lineChart>
      <c:catAx>
        <c:axId val="20850761"/>
        <c:scaling>
          <c:orientation val="minMax"/>
        </c:scaling>
        <c:delete val="0"/>
        <c:axPos val="b"/>
        <c:title>
          <c:tx>
            <c:rich>
              <a:bodyPr rot="0"/>
              <a:lstStyle/>
              <a:p>
                <a:pPr>
                  <a:defRPr sz="1000" b="1" strike="noStrike" spc="-1">
                    <a:solidFill>
                      <a:srgbClr val="000000"/>
                    </a:solidFill>
                    <a:latin typeface="Calibri"/>
                  </a:defRPr>
                </a:pPr>
                <a:r>
                  <a:rPr lang="en-US" sz="1000" b="1" strike="noStrike" spc="-1">
                    <a:solidFill>
                      <a:srgbClr val="000000"/>
                    </a:solidFill>
                    <a:latin typeface="Calibri"/>
                  </a:rPr>
                  <a:t>Distance downwind (m)</a:t>
                </a:r>
              </a:p>
            </c:rich>
          </c:tx>
          <c:overlay val="0"/>
          <c:spPr>
            <a:noFill/>
            <a:ln w="0">
              <a:noFill/>
            </a:ln>
          </c:spPr>
        </c:title>
        <c:numFmt formatCode="0" sourceLinked="0"/>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74283142"/>
        <c:crosses val="autoZero"/>
        <c:auto val="1"/>
        <c:lblAlgn val="ctr"/>
        <c:lblOffset val="100"/>
        <c:noMultiLvlLbl val="0"/>
      </c:catAx>
      <c:valAx>
        <c:axId val="74283142"/>
        <c:scaling>
          <c:orientation val="minMax"/>
        </c:scaling>
        <c:delete val="0"/>
        <c:axPos val="l"/>
        <c:majorGridlines>
          <c:spPr>
            <a:ln w="9360">
              <a:solidFill>
                <a:srgbClr val="878787"/>
              </a:solidFill>
              <a:round/>
            </a:ln>
          </c:spPr>
        </c:majorGridlines>
        <c:title>
          <c:tx>
            <c:rich>
              <a:bodyPr rot="-5400000"/>
              <a:lstStyle/>
              <a:p>
                <a:pPr>
                  <a:defRPr sz="1000" b="1" strike="noStrike" spc="-1">
                    <a:solidFill>
                      <a:srgbClr val="000000"/>
                    </a:solidFill>
                    <a:latin typeface="Calibri"/>
                  </a:defRPr>
                </a:pPr>
                <a:r>
                  <a:rPr lang="en-US" sz="1000" b="1" strike="noStrike" spc="-1">
                    <a:solidFill>
                      <a:srgbClr val="000000"/>
                    </a:solidFill>
                    <a:latin typeface="Calibri"/>
                  </a:rPr>
                  <a:t>PM2.5 (µg/m³)</a:t>
                </a:r>
              </a:p>
            </c:rich>
          </c:tx>
          <c:overlay val="0"/>
          <c:spPr>
            <a:noFill/>
            <a:ln w="0">
              <a:noFill/>
            </a:ln>
          </c:spPr>
        </c:title>
        <c:numFmt formatCode="0.000" sourceLinked="0"/>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20850761"/>
        <c:crosses val="autoZero"/>
        <c:crossBetween val="between"/>
      </c:valAx>
      <c:spPr>
        <a:noFill/>
        <a:ln w="0">
          <a:noFill/>
        </a:ln>
      </c:spPr>
    </c:plotArea>
    <c:legend>
      <c:legendPos val="b"/>
      <c:overlay val="0"/>
      <c:spPr>
        <a:noFill/>
        <a:ln w="0">
          <a:noFill/>
        </a:ln>
      </c:spPr>
      <c:txPr>
        <a:bodyPr/>
        <a:lstStyle/>
        <a:p>
          <a:pPr>
            <a:defRPr sz="1000" b="0" strike="noStrike" spc="-1">
              <a:solidFill>
                <a:srgbClr val="000000"/>
              </a:solidFill>
              <a:latin typeface="Calibri"/>
            </a:defRPr>
          </a:pPr>
          <a:endParaRPr lang="en-US"/>
        </a:p>
      </c:txPr>
    </c:legend>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215900</xdr:colOff>
      <xdr:row>0</xdr:row>
      <xdr:rowOff>114300</xdr:rowOff>
    </xdr:from>
    <xdr:to>
      <xdr:col>11</xdr:col>
      <xdr:colOff>406400</xdr:colOff>
      <xdr:row>15</xdr:row>
      <xdr:rowOff>76200</xdr:rowOff>
    </xdr:to>
    <xdr:sp macro="" textlink="">
      <xdr:nvSpPr>
        <xdr:cNvPr id="2" name="TextBox 1">
          <a:extLst>
            <a:ext uri="{FF2B5EF4-FFF2-40B4-BE49-F238E27FC236}">
              <a16:creationId xmlns:a16="http://schemas.microsoft.com/office/drawing/2014/main" id="{210CD762-A711-1A59-FA47-A9C076F89E98}"/>
            </a:ext>
          </a:extLst>
        </xdr:cNvPr>
        <xdr:cNvSpPr txBox="1"/>
      </xdr:nvSpPr>
      <xdr:spPr>
        <a:xfrm>
          <a:off x="8420100" y="114300"/>
          <a:ext cx="4813300" cy="441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This tool models PM2.5 air quality concentrations downwind of a highway corridor and compares three engineering interventions, EV fleet adoption, a roadside barrier, and a combined approach to quantify their effectiveness in reducing receptor exposure. It requires the user to specify traffic volume, emission factors for ICE and EV vehicles, EV fleet penetration, wind speed, atmospheric stability class, barrier height, and receptor distance, all of which can be adjusted directly in the Inputs &amp; Assumptions sheet. The tool applies a simplified Gaussian line source dispersion model, which treats the highway as a continuous emission source and computes ground-level concentrations as a function of downwind distance, wind speed, and atmospheric stability. This approach is well-suited to this scenario because highway corridors are spatially uniform linear sources with receptors distributed perpendicular to the road. Outputs include a full concentration table across twelve downwind distances (5–500 m) for all four scenarios, percentage reductions relative to baseline, a sensitivity analysis identifying which inputs most influence results, and a multi-criteria decision analysis matrix scoring each alternative across technical effectiveness, cost and practicality, public health, and environmental co-benefits. The AI Analysis sheet and companion report provide Claude-generated written interpretation of these outputs, including a weighted recommendation. Users should interpret concentrations relative to the WHO 24-hour PM2.5 guideline of 15 µg/m³, noting that the barrier is most protective close to the road while EV adoption delivers uniform reductions at all distances, and that the MCDA recommendation will shift if criterion weights are adjusted to reflect different planning priorities.</a:t>
          </a: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17</xdr:row>
      <xdr:rowOff>0</xdr:rowOff>
    </xdr:from>
    <xdr:to>
      <xdr:col>7</xdr:col>
      <xdr:colOff>150120</xdr:colOff>
      <xdr:row>41</xdr:row>
      <xdr:rowOff>106560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317500</xdr:colOff>
      <xdr:row>0</xdr:row>
      <xdr:rowOff>292100</xdr:rowOff>
    </xdr:from>
    <xdr:to>
      <xdr:col>18</xdr:col>
      <xdr:colOff>172551</xdr:colOff>
      <xdr:row>18</xdr:row>
      <xdr:rowOff>166981</xdr:rowOff>
    </xdr:to>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4A2ED70A-76C7-4348-AC1F-3E6AA7AE4A4C}"/>
                </a:ext>
              </a:extLst>
            </xdr:cNvPr>
            <xdr:cNvSpPr txBox="1"/>
          </xdr:nvSpPr>
          <xdr:spPr>
            <a:xfrm>
              <a:off x="9156700" y="292100"/>
              <a:ext cx="5798651" cy="476438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b="1"/>
                <a:t>Baseline concentration</a:t>
              </a:r>
              <a:endParaRPr lang="en-US"/>
            </a:p>
            <a:p>
              <a:pPr/>
              <a14:m>
                <m:oMathPara xmlns:m="http://schemas.openxmlformats.org/officeDocument/2006/math">
                  <m:oMathParaPr>
                    <m:jc m:val="centerGroup"/>
                  </m:oMathParaPr>
                  <m:oMath xmlns:m="http://schemas.openxmlformats.org/officeDocument/2006/math">
                    <m:sSub>
                      <m:sSubPr>
                        <m:ctrlPr>
                          <a:rPr lang="ar-AE" sz="1100" i="1">
                            <a:solidFill>
                              <a:schemeClr val="dk1"/>
                            </a:solidFill>
                            <a:latin typeface="Cambria Math" panose="02040503050406030204" pitchFamily="18" charset="0"/>
                            <a:ea typeface="+mn-ea"/>
                            <a:cs typeface="+mn-cs"/>
                          </a:rPr>
                        </m:ctrlPr>
                      </m:sSubPr>
                      <m:e>
                        <m:r>
                          <a:rPr lang="ar-AE" sz="1100" i="1">
                            <a:solidFill>
                              <a:schemeClr val="dk1"/>
                            </a:solidFill>
                            <a:latin typeface="Cambria Math" panose="02040503050406030204" pitchFamily="18" charset="0"/>
                            <a:ea typeface="+mn-ea"/>
                            <a:cs typeface="+mn-cs"/>
                          </a:rPr>
                          <m:t>𝐶</m:t>
                        </m:r>
                      </m:e>
                      <m:sub>
                        <m:r>
                          <a:rPr lang="ar-AE" sz="1100" i="1">
                            <a:solidFill>
                              <a:schemeClr val="dk1"/>
                            </a:solidFill>
                            <a:latin typeface="Cambria Math" panose="02040503050406030204" pitchFamily="18" charset="0"/>
                            <a:ea typeface="+mn-ea"/>
                            <a:cs typeface="+mn-cs"/>
                          </a:rPr>
                          <m:t>𝑏𝑎𝑠𝑒</m:t>
                        </m:r>
                      </m:sub>
                    </m:sSub>
                    <m:d>
                      <m:dPr>
                        <m:ctrlPr>
                          <a:rPr lang="ar-AE" sz="1100" i="1">
                            <a:solidFill>
                              <a:schemeClr val="dk1"/>
                            </a:solidFill>
                            <a:latin typeface="Cambria Math" panose="02040503050406030204" pitchFamily="18" charset="0"/>
                            <a:ea typeface="+mn-ea"/>
                            <a:cs typeface="+mn-cs"/>
                          </a:rPr>
                        </m:ctrlPr>
                      </m:dPr>
                      <m:e>
                        <m:r>
                          <a:rPr lang="ar-AE" sz="1100" i="1">
                            <a:solidFill>
                              <a:schemeClr val="dk1"/>
                            </a:solidFill>
                            <a:latin typeface="Cambria Math" panose="02040503050406030204" pitchFamily="18" charset="0"/>
                            <a:ea typeface="+mn-ea"/>
                            <a:cs typeface="+mn-cs"/>
                          </a:rPr>
                          <m:t>𝑥</m:t>
                        </m:r>
                      </m:e>
                    </m:d>
                    <m:r>
                      <a:rPr lang="ar-AE" sz="1100" i="0">
                        <a:solidFill>
                          <a:schemeClr val="dk1"/>
                        </a:solidFill>
                        <a:latin typeface="Cambria Math" panose="02040503050406030204" pitchFamily="18" charset="0"/>
                        <a:ea typeface="+mn-ea"/>
                        <a:cs typeface="+mn-cs"/>
                      </a:rPr>
                      <m:t>=</m:t>
                    </m:r>
                    <m:f>
                      <m:fPr>
                        <m:ctrlPr>
                          <a:rPr lang="ar-AE" sz="1100" i="1">
                            <a:solidFill>
                              <a:schemeClr val="dk1"/>
                            </a:solidFill>
                            <a:latin typeface="Cambria Math" panose="02040503050406030204" pitchFamily="18" charset="0"/>
                            <a:ea typeface="+mn-ea"/>
                            <a:cs typeface="+mn-cs"/>
                          </a:rPr>
                        </m:ctrlPr>
                      </m:fPr>
                      <m:num>
                        <m:sSub>
                          <m:sSubPr>
                            <m:ctrlPr>
                              <a:rPr lang="ar-AE" sz="1100" i="1">
                                <a:solidFill>
                                  <a:schemeClr val="dk1"/>
                                </a:solidFill>
                                <a:latin typeface="Cambria Math" panose="02040503050406030204" pitchFamily="18" charset="0"/>
                                <a:ea typeface="+mn-ea"/>
                                <a:cs typeface="+mn-cs"/>
                              </a:rPr>
                            </m:ctrlPr>
                          </m:sSubPr>
                          <m:e>
                            <m:r>
                              <a:rPr lang="ar-AE" sz="1100" i="1">
                                <a:solidFill>
                                  <a:schemeClr val="dk1"/>
                                </a:solidFill>
                                <a:latin typeface="Cambria Math" panose="02040503050406030204" pitchFamily="18" charset="0"/>
                                <a:ea typeface="+mn-ea"/>
                                <a:cs typeface="+mn-cs"/>
                              </a:rPr>
                              <m:t>𝑄</m:t>
                            </m:r>
                          </m:e>
                          <m:sub>
                            <m:r>
                              <a:rPr lang="ar-AE" sz="1100" i="1">
                                <a:solidFill>
                                  <a:schemeClr val="dk1"/>
                                </a:solidFill>
                                <a:latin typeface="Cambria Math" panose="02040503050406030204" pitchFamily="18" charset="0"/>
                                <a:ea typeface="+mn-ea"/>
                                <a:cs typeface="+mn-cs"/>
                              </a:rPr>
                              <m:t>𝑏𝑎𝑠𝑒</m:t>
                            </m:r>
                          </m:sub>
                        </m:sSub>
                      </m:num>
                      <m:den>
                        <m:rad>
                          <m:radPr>
                            <m:degHide m:val="on"/>
                            <m:ctrlPr>
                              <a:rPr lang="ar-AE" sz="1100" i="1">
                                <a:solidFill>
                                  <a:schemeClr val="dk1"/>
                                </a:solidFill>
                                <a:latin typeface="Cambria Math" panose="02040503050406030204" pitchFamily="18" charset="0"/>
                                <a:ea typeface="+mn-ea"/>
                                <a:cs typeface="+mn-cs"/>
                              </a:rPr>
                            </m:ctrlPr>
                          </m:radPr>
                          <m:deg/>
                          <m:e>
                            <m:r>
                              <a:rPr lang="ar-AE" sz="1100" i="0">
                                <a:solidFill>
                                  <a:schemeClr val="dk1"/>
                                </a:solidFill>
                                <a:latin typeface="Cambria Math" panose="02040503050406030204" pitchFamily="18" charset="0"/>
                                <a:ea typeface="+mn-ea"/>
                                <a:cs typeface="+mn-cs"/>
                              </a:rPr>
                              <m:t>2</m:t>
                            </m:r>
                            <m:r>
                              <a:rPr lang="ar-AE" sz="1100" i="1">
                                <a:solidFill>
                                  <a:schemeClr val="dk1"/>
                                </a:solidFill>
                                <a:latin typeface="Cambria Math" panose="02040503050406030204" pitchFamily="18" charset="0"/>
                                <a:ea typeface="+mn-ea"/>
                                <a:cs typeface="+mn-cs"/>
                              </a:rPr>
                              <m:t>𝜋</m:t>
                            </m:r>
                          </m:e>
                        </m:rad>
                        <m:r>
                          <a:rPr lang="ar-AE" sz="1100" i="0">
                            <a:solidFill>
                              <a:schemeClr val="dk1"/>
                            </a:solidFill>
                            <a:latin typeface="Cambria Math" panose="02040503050406030204" pitchFamily="18" charset="0"/>
                            <a:ea typeface="+mn-ea"/>
                            <a:cs typeface="+mn-cs"/>
                          </a:rPr>
                          <m:t>⋅</m:t>
                        </m:r>
                        <m:sSub>
                          <m:sSubPr>
                            <m:ctrlPr>
                              <a:rPr lang="ar-AE" sz="1100" i="1">
                                <a:solidFill>
                                  <a:schemeClr val="dk1"/>
                                </a:solidFill>
                                <a:latin typeface="Cambria Math" panose="02040503050406030204" pitchFamily="18" charset="0"/>
                                <a:ea typeface="+mn-ea"/>
                                <a:cs typeface="+mn-cs"/>
                              </a:rPr>
                            </m:ctrlPr>
                          </m:sSubPr>
                          <m:e>
                            <m:r>
                              <a:rPr lang="ar-AE" sz="1100" i="1">
                                <a:solidFill>
                                  <a:schemeClr val="dk1"/>
                                </a:solidFill>
                                <a:latin typeface="Cambria Math" panose="02040503050406030204" pitchFamily="18" charset="0"/>
                                <a:ea typeface="+mn-ea"/>
                                <a:cs typeface="+mn-cs"/>
                              </a:rPr>
                              <m:t>𝜎</m:t>
                            </m:r>
                          </m:e>
                          <m:sub>
                            <m:r>
                              <a:rPr lang="ar-AE" sz="1100" i="1">
                                <a:solidFill>
                                  <a:schemeClr val="dk1"/>
                                </a:solidFill>
                                <a:latin typeface="Cambria Math" panose="02040503050406030204" pitchFamily="18" charset="0"/>
                                <a:ea typeface="+mn-ea"/>
                                <a:cs typeface="+mn-cs"/>
                              </a:rPr>
                              <m:t>𝑧</m:t>
                            </m:r>
                          </m:sub>
                        </m:sSub>
                        <m:d>
                          <m:dPr>
                            <m:ctrlPr>
                              <a:rPr lang="ar-AE" sz="1100" i="1">
                                <a:solidFill>
                                  <a:schemeClr val="dk1"/>
                                </a:solidFill>
                                <a:latin typeface="Cambria Math" panose="02040503050406030204" pitchFamily="18" charset="0"/>
                                <a:ea typeface="+mn-ea"/>
                                <a:cs typeface="+mn-cs"/>
                              </a:rPr>
                            </m:ctrlPr>
                          </m:dPr>
                          <m:e>
                            <m:r>
                              <a:rPr lang="ar-AE" sz="1100" i="1">
                                <a:solidFill>
                                  <a:schemeClr val="dk1"/>
                                </a:solidFill>
                                <a:latin typeface="Cambria Math" panose="02040503050406030204" pitchFamily="18" charset="0"/>
                                <a:ea typeface="+mn-ea"/>
                                <a:cs typeface="+mn-cs"/>
                              </a:rPr>
                              <m:t>𝑥</m:t>
                            </m:r>
                          </m:e>
                        </m:d>
                        <m:r>
                          <a:rPr lang="ar-AE" sz="1100" i="0">
                            <a:solidFill>
                              <a:schemeClr val="dk1"/>
                            </a:solidFill>
                            <a:latin typeface="Cambria Math" panose="02040503050406030204" pitchFamily="18" charset="0"/>
                            <a:ea typeface="+mn-ea"/>
                            <a:cs typeface="+mn-cs"/>
                          </a:rPr>
                          <m:t>⋅</m:t>
                        </m:r>
                        <m:r>
                          <a:rPr lang="ar-AE" sz="1100" i="1">
                            <a:solidFill>
                              <a:schemeClr val="dk1"/>
                            </a:solidFill>
                            <a:latin typeface="Cambria Math" panose="02040503050406030204" pitchFamily="18" charset="0"/>
                            <a:ea typeface="+mn-ea"/>
                            <a:cs typeface="+mn-cs"/>
                          </a:rPr>
                          <m:t>𝑢</m:t>
                        </m:r>
                      </m:den>
                    </m:f>
                    <m:r>
                      <a:rPr lang="ar-AE" sz="1100" i="0">
                        <a:solidFill>
                          <a:schemeClr val="dk1"/>
                        </a:solidFill>
                        <a:latin typeface="Cambria Math" panose="02040503050406030204" pitchFamily="18" charset="0"/>
                        <a:ea typeface="+mn-ea"/>
                        <a:cs typeface="+mn-cs"/>
                      </a:rPr>
                      <m:t>⋅</m:t>
                    </m:r>
                    <m:func>
                      <m:funcPr>
                        <m:ctrlPr>
                          <a:rPr lang="ar-AE" sz="1100" i="1">
                            <a:solidFill>
                              <a:schemeClr val="dk1"/>
                            </a:solidFill>
                            <a:latin typeface="Cambria Math" panose="02040503050406030204" pitchFamily="18" charset="0"/>
                            <a:ea typeface="+mn-ea"/>
                            <a:cs typeface="+mn-cs"/>
                          </a:rPr>
                        </m:ctrlPr>
                      </m:funcPr>
                      <m:fName>
                        <m:r>
                          <m:rPr>
                            <m:sty m:val="p"/>
                          </m:rPr>
                          <a:rPr lang="en-US" sz="1100" i="0">
                            <a:solidFill>
                              <a:schemeClr val="dk1"/>
                            </a:solidFill>
                            <a:latin typeface="Cambria Math" panose="02040503050406030204" pitchFamily="18" charset="0"/>
                            <a:ea typeface="+mn-ea"/>
                            <a:cs typeface="+mn-cs"/>
                          </a:rPr>
                          <m:t>exp</m:t>
                        </m:r>
                      </m:fName>
                      <m:e>
                        <m:d>
                          <m:dPr>
                            <m:ctrlPr>
                              <a:rPr lang="ar-AE" sz="1100" i="1">
                                <a:solidFill>
                                  <a:schemeClr val="dk1"/>
                                </a:solidFill>
                                <a:latin typeface="Cambria Math" panose="02040503050406030204" pitchFamily="18" charset="0"/>
                                <a:ea typeface="+mn-ea"/>
                                <a:cs typeface="+mn-cs"/>
                              </a:rPr>
                            </m:ctrlPr>
                          </m:dPr>
                          <m:e>
                            <m:r>
                              <a:rPr lang="ar-AE" sz="1100" i="0">
                                <a:solidFill>
                                  <a:schemeClr val="dk1"/>
                                </a:solidFill>
                                <a:latin typeface="Cambria Math" panose="02040503050406030204" pitchFamily="18" charset="0"/>
                                <a:ea typeface="+mn-ea"/>
                                <a:cs typeface="+mn-cs"/>
                              </a:rPr>
                              <m:t>−</m:t>
                            </m:r>
                            <m:f>
                              <m:fPr>
                                <m:ctrlPr>
                                  <a:rPr lang="ar-AE" sz="1100" i="1">
                                    <a:solidFill>
                                      <a:schemeClr val="dk1"/>
                                    </a:solidFill>
                                    <a:latin typeface="Cambria Math" panose="02040503050406030204" pitchFamily="18" charset="0"/>
                                    <a:ea typeface="+mn-ea"/>
                                    <a:cs typeface="+mn-cs"/>
                                  </a:rPr>
                                </m:ctrlPr>
                              </m:fPr>
                              <m:num>
                                <m:sSup>
                                  <m:sSupPr>
                                    <m:ctrlPr>
                                      <a:rPr lang="ar-AE" sz="1100" i="1">
                                        <a:solidFill>
                                          <a:schemeClr val="dk1"/>
                                        </a:solidFill>
                                        <a:latin typeface="Cambria Math" panose="02040503050406030204" pitchFamily="18" charset="0"/>
                                        <a:ea typeface="+mn-ea"/>
                                        <a:cs typeface="+mn-cs"/>
                                      </a:rPr>
                                    </m:ctrlPr>
                                  </m:sSupPr>
                                  <m:e>
                                    <m:r>
                                      <a:rPr lang="ar-AE" sz="1100" i="1">
                                        <a:solidFill>
                                          <a:schemeClr val="dk1"/>
                                        </a:solidFill>
                                        <a:latin typeface="Cambria Math" panose="02040503050406030204" pitchFamily="18" charset="0"/>
                                        <a:ea typeface="+mn-ea"/>
                                        <a:cs typeface="+mn-cs"/>
                                      </a:rPr>
                                      <m:t>𝐻</m:t>
                                    </m:r>
                                  </m:e>
                                  <m:sup>
                                    <m:r>
                                      <a:rPr lang="ar-AE" sz="1100" i="0">
                                        <a:solidFill>
                                          <a:schemeClr val="dk1"/>
                                        </a:solidFill>
                                        <a:latin typeface="Cambria Math" panose="02040503050406030204" pitchFamily="18" charset="0"/>
                                        <a:ea typeface="+mn-ea"/>
                                        <a:cs typeface="+mn-cs"/>
                                      </a:rPr>
                                      <m:t>2</m:t>
                                    </m:r>
                                  </m:sup>
                                </m:sSup>
                              </m:num>
                              <m:den>
                                <m:r>
                                  <a:rPr lang="ar-AE" sz="1100" i="0">
                                    <a:solidFill>
                                      <a:schemeClr val="dk1"/>
                                    </a:solidFill>
                                    <a:latin typeface="Cambria Math" panose="02040503050406030204" pitchFamily="18" charset="0"/>
                                    <a:ea typeface="+mn-ea"/>
                                    <a:cs typeface="+mn-cs"/>
                                  </a:rPr>
                                  <m:t>2</m:t>
                                </m:r>
                                <m:sSubSup>
                                  <m:sSubSupPr>
                                    <m:ctrlPr>
                                      <a:rPr lang="ar-AE" sz="1100" i="1">
                                        <a:solidFill>
                                          <a:schemeClr val="dk1"/>
                                        </a:solidFill>
                                        <a:latin typeface="Cambria Math" panose="02040503050406030204" pitchFamily="18" charset="0"/>
                                        <a:ea typeface="+mn-ea"/>
                                        <a:cs typeface="+mn-cs"/>
                                      </a:rPr>
                                    </m:ctrlPr>
                                  </m:sSubSupPr>
                                  <m:e>
                                    <m:r>
                                      <a:rPr lang="ar-AE" sz="1100" i="1">
                                        <a:solidFill>
                                          <a:schemeClr val="dk1"/>
                                        </a:solidFill>
                                        <a:latin typeface="Cambria Math" panose="02040503050406030204" pitchFamily="18" charset="0"/>
                                        <a:ea typeface="+mn-ea"/>
                                        <a:cs typeface="+mn-cs"/>
                                      </a:rPr>
                                      <m:t>𝜎</m:t>
                                    </m:r>
                                  </m:e>
                                  <m:sub>
                                    <m:r>
                                      <a:rPr lang="ar-AE" sz="1100" i="1">
                                        <a:solidFill>
                                          <a:schemeClr val="dk1"/>
                                        </a:solidFill>
                                        <a:latin typeface="Cambria Math" panose="02040503050406030204" pitchFamily="18" charset="0"/>
                                        <a:ea typeface="+mn-ea"/>
                                        <a:cs typeface="+mn-cs"/>
                                      </a:rPr>
                                      <m:t>𝑧</m:t>
                                    </m:r>
                                  </m:sub>
                                  <m:sup>
                                    <m:r>
                                      <a:rPr lang="ar-AE" sz="1100" i="0">
                                        <a:solidFill>
                                          <a:schemeClr val="dk1"/>
                                        </a:solidFill>
                                        <a:latin typeface="Cambria Math" panose="02040503050406030204" pitchFamily="18" charset="0"/>
                                        <a:ea typeface="+mn-ea"/>
                                        <a:cs typeface="+mn-cs"/>
                                      </a:rPr>
                                      <m:t>2</m:t>
                                    </m:r>
                                  </m:sup>
                                </m:sSubSup>
                                <m:d>
                                  <m:dPr>
                                    <m:ctrlPr>
                                      <a:rPr lang="ar-AE" sz="1100" i="1">
                                        <a:solidFill>
                                          <a:schemeClr val="dk1"/>
                                        </a:solidFill>
                                        <a:latin typeface="Cambria Math" panose="02040503050406030204" pitchFamily="18" charset="0"/>
                                        <a:ea typeface="+mn-ea"/>
                                        <a:cs typeface="+mn-cs"/>
                                      </a:rPr>
                                    </m:ctrlPr>
                                  </m:dPr>
                                  <m:e>
                                    <m:r>
                                      <a:rPr lang="ar-AE" sz="1100" i="1">
                                        <a:solidFill>
                                          <a:schemeClr val="dk1"/>
                                        </a:solidFill>
                                        <a:latin typeface="Cambria Math" panose="02040503050406030204" pitchFamily="18" charset="0"/>
                                        <a:ea typeface="+mn-ea"/>
                                        <a:cs typeface="+mn-cs"/>
                                      </a:rPr>
                                      <m:t>𝑥</m:t>
                                    </m:r>
                                  </m:e>
                                </m:d>
                              </m:den>
                            </m:f>
                          </m:e>
                        </m:d>
                      </m:e>
                    </m:func>
                  </m:oMath>
                </m:oMathPara>
              </a14:m>
              <a:endParaRPr lang="ar-AE"/>
            </a:p>
            <a:p>
              <a:endParaRPr lang="en-US"/>
            </a:p>
            <a:p>
              <a:r>
                <a:rPr lang="en-US"/>
                <a:t>where </a:t>
              </a:r>
              <a14:m>
                <m:oMath xmlns:m="http://schemas.openxmlformats.org/officeDocument/2006/math">
                  <m:sSub>
                    <m:sSubPr>
                      <m:ctrlPr>
                        <a:rPr lang="ar-AE" sz="1100" i="1">
                          <a:solidFill>
                            <a:schemeClr val="dk1"/>
                          </a:solidFill>
                          <a:latin typeface="Cambria Math" panose="02040503050406030204" pitchFamily="18" charset="0"/>
                          <a:ea typeface="+mn-ea"/>
                          <a:cs typeface="+mn-cs"/>
                        </a:rPr>
                      </m:ctrlPr>
                    </m:sSubPr>
                    <m:e>
                      <m:r>
                        <a:rPr lang="ar-AE" sz="1100" i="1">
                          <a:solidFill>
                            <a:schemeClr val="dk1"/>
                          </a:solidFill>
                          <a:latin typeface="Cambria Math" panose="02040503050406030204" pitchFamily="18" charset="0"/>
                          <a:ea typeface="+mn-ea"/>
                          <a:cs typeface="+mn-cs"/>
                        </a:rPr>
                        <m:t>𝑄</m:t>
                      </m:r>
                    </m:e>
                    <m:sub>
                      <m:r>
                        <a:rPr lang="ar-AE" sz="1100" i="1">
                          <a:solidFill>
                            <a:schemeClr val="dk1"/>
                          </a:solidFill>
                          <a:latin typeface="Cambria Math" panose="02040503050406030204" pitchFamily="18" charset="0"/>
                          <a:ea typeface="+mn-ea"/>
                          <a:cs typeface="+mn-cs"/>
                        </a:rPr>
                        <m:t>𝑏𝑎𝑠𝑒</m:t>
                      </m:r>
                    </m:sub>
                  </m:sSub>
                  <m:r>
                    <a:rPr lang="ar-AE" sz="1100" i="0">
                      <a:solidFill>
                        <a:schemeClr val="dk1"/>
                      </a:solidFill>
                      <a:latin typeface="Cambria Math" panose="02040503050406030204" pitchFamily="18" charset="0"/>
                      <a:ea typeface="+mn-ea"/>
                      <a:cs typeface="+mn-cs"/>
                    </a:rPr>
                    <m:t>=</m:t>
                  </m:r>
                  <m:f>
                    <m:fPr>
                      <m:ctrlPr>
                        <a:rPr lang="ar-AE" sz="1100" i="1">
                          <a:solidFill>
                            <a:schemeClr val="dk1"/>
                          </a:solidFill>
                          <a:latin typeface="Cambria Math" panose="02040503050406030204" pitchFamily="18" charset="0"/>
                          <a:ea typeface="+mn-ea"/>
                          <a:cs typeface="+mn-cs"/>
                        </a:rPr>
                      </m:ctrlPr>
                    </m:fPr>
                    <m:num>
                      <m:r>
                        <a:rPr lang="ar-AE" sz="1100" i="1">
                          <a:solidFill>
                            <a:schemeClr val="dk1"/>
                          </a:solidFill>
                          <a:latin typeface="Cambria Math" panose="02040503050406030204" pitchFamily="18" charset="0"/>
                          <a:ea typeface="+mn-ea"/>
                          <a:cs typeface="+mn-cs"/>
                        </a:rPr>
                        <m:t>𝑉</m:t>
                      </m:r>
                    </m:num>
                    <m:den>
                      <m:r>
                        <a:rPr lang="ar-AE" sz="1100" i="0">
                          <a:solidFill>
                            <a:schemeClr val="dk1"/>
                          </a:solidFill>
                          <a:latin typeface="Cambria Math" panose="02040503050406030204" pitchFamily="18" charset="0"/>
                          <a:ea typeface="+mn-ea"/>
                          <a:cs typeface="+mn-cs"/>
                        </a:rPr>
                        <m:t>3600</m:t>
                      </m:r>
                    </m:den>
                  </m:f>
                  <m:r>
                    <a:rPr lang="ar-AE" sz="1100" i="0">
                      <a:solidFill>
                        <a:schemeClr val="dk1"/>
                      </a:solidFill>
                      <a:latin typeface="Cambria Math" panose="02040503050406030204" pitchFamily="18" charset="0"/>
                      <a:ea typeface="+mn-ea"/>
                      <a:cs typeface="+mn-cs"/>
                    </a:rPr>
                    <m:t>⋅</m:t>
                  </m:r>
                  <m:r>
                    <a:rPr lang="ar-AE" sz="1100" i="1">
                      <a:solidFill>
                        <a:schemeClr val="dk1"/>
                      </a:solidFill>
                      <a:latin typeface="Cambria Math" panose="02040503050406030204" pitchFamily="18" charset="0"/>
                      <a:ea typeface="+mn-ea"/>
                      <a:cs typeface="+mn-cs"/>
                    </a:rPr>
                    <m:t>𝐸</m:t>
                  </m:r>
                  <m:sSub>
                    <m:sSubPr>
                      <m:ctrlPr>
                        <a:rPr lang="ar-AE" sz="1100" i="1">
                          <a:solidFill>
                            <a:schemeClr val="dk1"/>
                          </a:solidFill>
                          <a:latin typeface="Cambria Math" panose="02040503050406030204" pitchFamily="18" charset="0"/>
                          <a:ea typeface="+mn-ea"/>
                          <a:cs typeface="+mn-cs"/>
                        </a:rPr>
                      </m:ctrlPr>
                    </m:sSubPr>
                    <m:e>
                      <m:r>
                        <a:rPr lang="ar-AE" sz="1100" i="1">
                          <a:solidFill>
                            <a:schemeClr val="dk1"/>
                          </a:solidFill>
                          <a:latin typeface="Cambria Math" panose="02040503050406030204" pitchFamily="18" charset="0"/>
                          <a:ea typeface="+mn-ea"/>
                          <a:cs typeface="+mn-cs"/>
                        </a:rPr>
                        <m:t>𝐹</m:t>
                      </m:r>
                    </m:e>
                    <m:sub>
                      <m:r>
                        <a:rPr lang="ar-AE" sz="1100" i="1">
                          <a:solidFill>
                            <a:schemeClr val="dk1"/>
                          </a:solidFill>
                          <a:latin typeface="Cambria Math" panose="02040503050406030204" pitchFamily="18" charset="0"/>
                          <a:ea typeface="+mn-ea"/>
                          <a:cs typeface="+mn-cs"/>
                        </a:rPr>
                        <m:t>𝐼𝐶𝐸</m:t>
                      </m:r>
                    </m:sub>
                  </m:sSub>
                </m:oMath>
              </a14:m>
              <a:r>
                <a:rPr lang="en-US"/>
                <a:t>  and </a:t>
              </a:r>
              <a14:m>
                <m:oMath xmlns:m="http://schemas.openxmlformats.org/officeDocument/2006/math">
                  <m:sSub>
                    <m:sSubPr>
                      <m:ctrlPr>
                        <a:rPr lang="ar-AE" sz="1100" i="1">
                          <a:solidFill>
                            <a:schemeClr val="dk1"/>
                          </a:solidFill>
                          <a:latin typeface="Cambria Math" panose="02040503050406030204" pitchFamily="18" charset="0"/>
                          <a:ea typeface="+mn-ea"/>
                          <a:cs typeface="+mn-cs"/>
                        </a:rPr>
                      </m:ctrlPr>
                    </m:sSubPr>
                    <m:e>
                      <m:r>
                        <a:rPr lang="ar-AE" sz="1100" i="1">
                          <a:solidFill>
                            <a:schemeClr val="dk1"/>
                          </a:solidFill>
                          <a:latin typeface="Cambria Math" panose="02040503050406030204" pitchFamily="18" charset="0"/>
                          <a:ea typeface="+mn-ea"/>
                          <a:cs typeface="+mn-cs"/>
                        </a:rPr>
                        <m:t>𝜎</m:t>
                      </m:r>
                    </m:e>
                    <m:sub>
                      <m:r>
                        <a:rPr lang="ar-AE" sz="1100" i="1">
                          <a:solidFill>
                            <a:schemeClr val="dk1"/>
                          </a:solidFill>
                          <a:latin typeface="Cambria Math" panose="02040503050406030204" pitchFamily="18" charset="0"/>
                          <a:ea typeface="+mn-ea"/>
                          <a:cs typeface="+mn-cs"/>
                        </a:rPr>
                        <m:t>𝑧</m:t>
                      </m:r>
                    </m:sub>
                  </m:sSub>
                  <m:d>
                    <m:dPr>
                      <m:ctrlPr>
                        <a:rPr lang="ar-AE" sz="1100" i="1">
                          <a:solidFill>
                            <a:schemeClr val="dk1"/>
                          </a:solidFill>
                          <a:latin typeface="Cambria Math" panose="02040503050406030204" pitchFamily="18" charset="0"/>
                          <a:ea typeface="+mn-ea"/>
                          <a:cs typeface="+mn-cs"/>
                        </a:rPr>
                      </m:ctrlPr>
                    </m:dPr>
                    <m:e>
                      <m:r>
                        <a:rPr lang="ar-AE" sz="1100" i="1">
                          <a:solidFill>
                            <a:schemeClr val="dk1"/>
                          </a:solidFill>
                          <a:latin typeface="Cambria Math" panose="02040503050406030204" pitchFamily="18" charset="0"/>
                          <a:ea typeface="+mn-ea"/>
                          <a:cs typeface="+mn-cs"/>
                        </a:rPr>
                        <m:t>𝑥</m:t>
                      </m:r>
                    </m:e>
                  </m:d>
                  <m:r>
                    <a:rPr lang="ar-AE" sz="1100" i="0">
                      <a:solidFill>
                        <a:schemeClr val="dk1"/>
                      </a:solidFill>
                      <a:latin typeface="Cambria Math" panose="02040503050406030204" pitchFamily="18" charset="0"/>
                      <a:ea typeface="+mn-ea"/>
                      <a:cs typeface="+mn-cs"/>
                    </a:rPr>
                    <m:t>=</m:t>
                  </m:r>
                  <m:r>
                    <a:rPr lang="ar-AE" sz="1100" i="1">
                      <a:solidFill>
                        <a:schemeClr val="dk1"/>
                      </a:solidFill>
                      <a:latin typeface="Cambria Math" panose="02040503050406030204" pitchFamily="18" charset="0"/>
                      <a:ea typeface="+mn-ea"/>
                      <a:cs typeface="+mn-cs"/>
                    </a:rPr>
                    <m:t>𝑎</m:t>
                  </m:r>
                  <m:r>
                    <a:rPr lang="ar-AE" sz="1100" i="0">
                      <a:solidFill>
                        <a:schemeClr val="dk1"/>
                      </a:solidFill>
                      <a:latin typeface="Cambria Math" panose="02040503050406030204" pitchFamily="18" charset="0"/>
                      <a:ea typeface="+mn-ea"/>
                      <a:cs typeface="+mn-cs"/>
                    </a:rPr>
                    <m:t>⋅</m:t>
                  </m:r>
                  <m:r>
                    <a:rPr lang="ar-AE" sz="1100" i="1">
                      <a:solidFill>
                        <a:schemeClr val="dk1"/>
                      </a:solidFill>
                      <a:latin typeface="Cambria Math" panose="02040503050406030204" pitchFamily="18" charset="0"/>
                      <a:ea typeface="+mn-ea"/>
                      <a:cs typeface="+mn-cs"/>
                    </a:rPr>
                    <m:t>𝑥</m:t>
                  </m:r>
                  <m:r>
                    <a:rPr lang="ar-AE" sz="1100" i="0">
                      <a:solidFill>
                        <a:schemeClr val="dk1"/>
                      </a:solidFill>
                      <a:latin typeface="Cambria Math" panose="02040503050406030204" pitchFamily="18" charset="0"/>
                      <a:ea typeface="+mn-ea"/>
                      <a:cs typeface="+mn-cs"/>
                    </a:rPr>
                    <m:t>⋅</m:t>
                  </m:r>
                  <m:d>
                    <m:dPr>
                      <m:endChr m:val=""/>
                      <m:ctrlPr>
                        <a:rPr lang="ar-AE" sz="1100" i="1">
                          <a:solidFill>
                            <a:schemeClr val="dk1"/>
                          </a:solidFill>
                          <a:latin typeface="Cambria Math" panose="02040503050406030204" pitchFamily="18" charset="0"/>
                          <a:ea typeface="+mn-ea"/>
                          <a:cs typeface="+mn-cs"/>
                        </a:rPr>
                      </m:ctrlPr>
                    </m:dPr>
                    <m:e>
                      <m:r>
                        <a:rPr lang="ar-AE" sz="1100" i="0">
                          <a:solidFill>
                            <a:schemeClr val="dk1"/>
                          </a:solidFill>
                          <a:latin typeface="Cambria Math" panose="02040503050406030204" pitchFamily="18" charset="0"/>
                          <a:ea typeface="+mn-ea"/>
                          <a:cs typeface="+mn-cs"/>
                        </a:rPr>
                        <m:t>1</m:t>
                      </m:r>
                      <m:r>
                        <a:rPr lang="ar-AE" sz="1100" i="0">
                          <a:solidFill>
                            <a:schemeClr val="dk1"/>
                          </a:solidFill>
                          <a:latin typeface="Cambria Math" panose="02040503050406030204" pitchFamily="18" charset="0"/>
                          <a:ea typeface="+mn-ea"/>
                          <a:cs typeface="+mn-cs"/>
                        </a:rPr>
                        <m:t>+</m:t>
                      </m:r>
                      <m:r>
                        <a:rPr lang="ar-AE" sz="1100" i="1">
                          <a:solidFill>
                            <a:schemeClr val="dk1"/>
                          </a:solidFill>
                          <a:latin typeface="Cambria Math" panose="02040503050406030204" pitchFamily="18" charset="0"/>
                          <a:ea typeface="+mn-ea"/>
                          <a:cs typeface="+mn-cs"/>
                        </a:rPr>
                        <m:t>𝑏</m:t>
                      </m:r>
                      <m:r>
                        <a:rPr lang="ar-AE" sz="1100" i="0">
                          <a:solidFill>
                            <a:schemeClr val="dk1"/>
                          </a:solidFill>
                          <a:latin typeface="Cambria Math" panose="02040503050406030204" pitchFamily="18" charset="0"/>
                          <a:ea typeface="+mn-ea"/>
                          <a:cs typeface="+mn-cs"/>
                        </a:rPr>
                        <m:t>⋅</m:t>
                      </m:r>
                      <m:r>
                        <a:rPr lang="ar-AE" sz="1100" i="1">
                          <a:solidFill>
                            <a:schemeClr val="dk1"/>
                          </a:solidFill>
                          <a:latin typeface="Cambria Math" panose="02040503050406030204" pitchFamily="18" charset="0"/>
                          <a:ea typeface="+mn-ea"/>
                          <a:cs typeface="+mn-cs"/>
                        </a:rPr>
                        <m:t>𝑥</m:t>
                      </m:r>
                      <m:sSup>
                        <m:sSupPr>
                          <m:ctrlPr>
                            <a:rPr lang="ar-AE" sz="1100" i="1">
                              <a:solidFill>
                                <a:schemeClr val="dk1"/>
                              </a:solidFill>
                              <a:latin typeface="Cambria Math" panose="02040503050406030204" pitchFamily="18" charset="0"/>
                              <a:ea typeface="+mn-ea"/>
                              <a:cs typeface="+mn-cs"/>
                            </a:rPr>
                          </m:ctrlPr>
                        </m:sSupPr>
                        <m:e>
                          <m:d>
                            <m:dPr>
                              <m:begChr m:val=""/>
                              <m:endChr m:val=""/>
                              <m:ctrlPr>
                                <a:rPr lang="ar-AE" sz="1100" i="1">
                                  <a:solidFill>
                                    <a:schemeClr val="dk1"/>
                                  </a:solidFill>
                                  <a:latin typeface="Cambria Math" panose="02040503050406030204" pitchFamily="18" charset="0"/>
                                  <a:ea typeface="+mn-ea"/>
                                  <a:cs typeface="+mn-cs"/>
                                </a:rPr>
                              </m:ctrlPr>
                            </m:dPr>
                            <m:e>
                              <m:r>
                                <a:rPr lang="ar-AE" sz="1100" i="0">
                                  <a:solidFill>
                                    <a:schemeClr val="dk1"/>
                                  </a:solidFill>
                                  <a:latin typeface="Cambria Math" panose="02040503050406030204" pitchFamily="18" charset="0"/>
                                  <a:ea typeface="+mn-ea"/>
                                  <a:cs typeface="+mn-cs"/>
                                </a:rPr>
                                <m:t>)</m:t>
                              </m:r>
                            </m:e>
                          </m:d>
                        </m:e>
                        <m:sup>
                          <m:r>
                            <a:rPr lang="ar-AE" sz="1100" i="0">
                              <a:solidFill>
                                <a:schemeClr val="dk1"/>
                              </a:solidFill>
                              <a:latin typeface="Cambria Math" panose="02040503050406030204" pitchFamily="18" charset="0"/>
                              <a:ea typeface="+mn-ea"/>
                              <a:cs typeface="+mn-cs"/>
                            </a:rPr>
                            <m:t>−</m:t>
                          </m:r>
                          <m:r>
                            <a:rPr lang="ar-AE" sz="1100" i="0">
                              <a:solidFill>
                                <a:schemeClr val="dk1"/>
                              </a:solidFill>
                              <a:latin typeface="Cambria Math" panose="02040503050406030204" pitchFamily="18" charset="0"/>
                              <a:ea typeface="+mn-ea"/>
                              <a:cs typeface="+mn-cs"/>
                            </a:rPr>
                            <m:t>0</m:t>
                          </m:r>
                          <m:r>
                            <a:rPr lang="ar-AE" sz="1100" i="0">
                              <a:solidFill>
                                <a:schemeClr val="dk1"/>
                              </a:solidFill>
                              <a:latin typeface="Cambria Math" panose="02040503050406030204" pitchFamily="18" charset="0"/>
                              <a:ea typeface="+mn-ea"/>
                              <a:cs typeface="+mn-cs"/>
                            </a:rPr>
                            <m:t>.</m:t>
                          </m:r>
                          <m:r>
                            <a:rPr lang="ar-AE" sz="1100" i="0">
                              <a:solidFill>
                                <a:schemeClr val="dk1"/>
                              </a:solidFill>
                              <a:latin typeface="Cambria Math" panose="02040503050406030204" pitchFamily="18" charset="0"/>
                              <a:ea typeface="+mn-ea"/>
                              <a:cs typeface="+mn-cs"/>
                            </a:rPr>
                            <m:t>5</m:t>
                          </m:r>
                        </m:sup>
                      </m:sSup>
                    </m:e>
                  </m:d>
                </m:oMath>
              </a14:m>
              <a:endParaRPr lang="en-US"/>
            </a:p>
            <a:p>
              <a:endParaRPr lang="en-US"/>
            </a:p>
            <a:p>
              <a:r>
                <a:rPr lang="en-US" b="1"/>
                <a:t>EV only concentration</a:t>
              </a:r>
              <a:endParaRPr lang="en-US"/>
            </a:p>
            <a:p>
              <a:pPr/>
              <a14:m>
                <m:oMathPara xmlns:m="http://schemas.openxmlformats.org/officeDocument/2006/math">
                  <m:oMathParaPr>
                    <m:jc m:val="centerGroup"/>
                  </m:oMathParaPr>
                  <m:oMath xmlns:m="http://schemas.openxmlformats.org/officeDocument/2006/math">
                    <m:sSub>
                      <m:sSubPr>
                        <m:ctrlPr>
                          <a:rPr lang="ar-AE" sz="1100" i="1">
                            <a:solidFill>
                              <a:schemeClr val="dk1"/>
                            </a:solidFill>
                            <a:latin typeface="Cambria Math" panose="02040503050406030204" pitchFamily="18" charset="0"/>
                            <a:ea typeface="+mn-ea"/>
                            <a:cs typeface="+mn-cs"/>
                          </a:rPr>
                        </m:ctrlPr>
                      </m:sSubPr>
                      <m:e>
                        <m:r>
                          <a:rPr lang="ar-AE" sz="1100" i="1">
                            <a:solidFill>
                              <a:schemeClr val="dk1"/>
                            </a:solidFill>
                            <a:latin typeface="Cambria Math" panose="02040503050406030204" pitchFamily="18" charset="0"/>
                            <a:ea typeface="+mn-ea"/>
                            <a:cs typeface="+mn-cs"/>
                          </a:rPr>
                          <m:t>𝐶</m:t>
                        </m:r>
                      </m:e>
                      <m:sub>
                        <m:r>
                          <a:rPr lang="ar-AE" sz="1100" i="1">
                            <a:solidFill>
                              <a:schemeClr val="dk1"/>
                            </a:solidFill>
                            <a:latin typeface="Cambria Math" panose="02040503050406030204" pitchFamily="18" charset="0"/>
                            <a:ea typeface="+mn-ea"/>
                            <a:cs typeface="+mn-cs"/>
                          </a:rPr>
                          <m:t>𝐸𝑉</m:t>
                        </m:r>
                      </m:sub>
                    </m:sSub>
                    <m:d>
                      <m:dPr>
                        <m:ctrlPr>
                          <a:rPr lang="ar-AE" sz="1100" i="1">
                            <a:solidFill>
                              <a:schemeClr val="dk1"/>
                            </a:solidFill>
                            <a:latin typeface="Cambria Math" panose="02040503050406030204" pitchFamily="18" charset="0"/>
                            <a:ea typeface="+mn-ea"/>
                            <a:cs typeface="+mn-cs"/>
                          </a:rPr>
                        </m:ctrlPr>
                      </m:dPr>
                      <m:e>
                        <m:r>
                          <a:rPr lang="ar-AE" sz="1100" i="1">
                            <a:solidFill>
                              <a:schemeClr val="dk1"/>
                            </a:solidFill>
                            <a:latin typeface="Cambria Math" panose="02040503050406030204" pitchFamily="18" charset="0"/>
                            <a:ea typeface="+mn-ea"/>
                            <a:cs typeface="+mn-cs"/>
                          </a:rPr>
                          <m:t>𝑥</m:t>
                        </m:r>
                      </m:e>
                    </m:d>
                    <m:r>
                      <a:rPr lang="ar-AE" sz="1100" i="0">
                        <a:solidFill>
                          <a:schemeClr val="dk1"/>
                        </a:solidFill>
                        <a:latin typeface="Cambria Math" panose="02040503050406030204" pitchFamily="18" charset="0"/>
                        <a:ea typeface="+mn-ea"/>
                        <a:cs typeface="+mn-cs"/>
                      </a:rPr>
                      <m:t>=</m:t>
                    </m:r>
                    <m:f>
                      <m:fPr>
                        <m:ctrlPr>
                          <a:rPr lang="ar-AE" sz="1100" i="1">
                            <a:solidFill>
                              <a:schemeClr val="dk1"/>
                            </a:solidFill>
                            <a:latin typeface="Cambria Math" panose="02040503050406030204" pitchFamily="18" charset="0"/>
                            <a:ea typeface="+mn-ea"/>
                            <a:cs typeface="+mn-cs"/>
                          </a:rPr>
                        </m:ctrlPr>
                      </m:fPr>
                      <m:num>
                        <m:sSub>
                          <m:sSubPr>
                            <m:ctrlPr>
                              <a:rPr lang="ar-AE" sz="1100" i="1">
                                <a:solidFill>
                                  <a:schemeClr val="dk1"/>
                                </a:solidFill>
                                <a:latin typeface="Cambria Math" panose="02040503050406030204" pitchFamily="18" charset="0"/>
                                <a:ea typeface="+mn-ea"/>
                                <a:cs typeface="+mn-cs"/>
                              </a:rPr>
                            </m:ctrlPr>
                          </m:sSubPr>
                          <m:e>
                            <m:r>
                              <a:rPr lang="ar-AE" sz="1100" i="1">
                                <a:solidFill>
                                  <a:schemeClr val="dk1"/>
                                </a:solidFill>
                                <a:latin typeface="Cambria Math" panose="02040503050406030204" pitchFamily="18" charset="0"/>
                                <a:ea typeface="+mn-ea"/>
                                <a:cs typeface="+mn-cs"/>
                              </a:rPr>
                              <m:t>𝑄</m:t>
                            </m:r>
                          </m:e>
                          <m:sub>
                            <m:r>
                              <a:rPr lang="ar-AE" sz="1100" i="1">
                                <a:solidFill>
                                  <a:schemeClr val="dk1"/>
                                </a:solidFill>
                                <a:latin typeface="Cambria Math" panose="02040503050406030204" pitchFamily="18" charset="0"/>
                                <a:ea typeface="+mn-ea"/>
                                <a:cs typeface="+mn-cs"/>
                              </a:rPr>
                              <m:t>𝐸𝑉</m:t>
                            </m:r>
                          </m:sub>
                        </m:sSub>
                      </m:num>
                      <m:den>
                        <m:rad>
                          <m:radPr>
                            <m:degHide m:val="on"/>
                            <m:ctrlPr>
                              <a:rPr lang="ar-AE" sz="1100" i="1">
                                <a:solidFill>
                                  <a:schemeClr val="dk1"/>
                                </a:solidFill>
                                <a:latin typeface="Cambria Math" panose="02040503050406030204" pitchFamily="18" charset="0"/>
                                <a:ea typeface="+mn-ea"/>
                                <a:cs typeface="+mn-cs"/>
                              </a:rPr>
                            </m:ctrlPr>
                          </m:radPr>
                          <m:deg/>
                          <m:e>
                            <m:r>
                              <a:rPr lang="ar-AE" sz="1100" i="0">
                                <a:solidFill>
                                  <a:schemeClr val="dk1"/>
                                </a:solidFill>
                                <a:latin typeface="Cambria Math" panose="02040503050406030204" pitchFamily="18" charset="0"/>
                                <a:ea typeface="+mn-ea"/>
                                <a:cs typeface="+mn-cs"/>
                              </a:rPr>
                              <m:t>2</m:t>
                            </m:r>
                            <m:r>
                              <a:rPr lang="ar-AE" sz="1100" i="1">
                                <a:solidFill>
                                  <a:schemeClr val="dk1"/>
                                </a:solidFill>
                                <a:latin typeface="Cambria Math" panose="02040503050406030204" pitchFamily="18" charset="0"/>
                                <a:ea typeface="+mn-ea"/>
                                <a:cs typeface="+mn-cs"/>
                              </a:rPr>
                              <m:t>𝜋</m:t>
                            </m:r>
                          </m:e>
                        </m:rad>
                        <m:r>
                          <a:rPr lang="ar-AE" sz="1100" i="0">
                            <a:solidFill>
                              <a:schemeClr val="dk1"/>
                            </a:solidFill>
                            <a:latin typeface="Cambria Math" panose="02040503050406030204" pitchFamily="18" charset="0"/>
                            <a:ea typeface="+mn-ea"/>
                            <a:cs typeface="+mn-cs"/>
                          </a:rPr>
                          <m:t>⋅</m:t>
                        </m:r>
                        <m:sSub>
                          <m:sSubPr>
                            <m:ctrlPr>
                              <a:rPr lang="ar-AE" sz="1100" i="1">
                                <a:solidFill>
                                  <a:schemeClr val="dk1"/>
                                </a:solidFill>
                                <a:latin typeface="Cambria Math" panose="02040503050406030204" pitchFamily="18" charset="0"/>
                                <a:ea typeface="+mn-ea"/>
                                <a:cs typeface="+mn-cs"/>
                              </a:rPr>
                            </m:ctrlPr>
                          </m:sSubPr>
                          <m:e>
                            <m:r>
                              <a:rPr lang="ar-AE" sz="1100" i="1">
                                <a:solidFill>
                                  <a:schemeClr val="dk1"/>
                                </a:solidFill>
                                <a:latin typeface="Cambria Math" panose="02040503050406030204" pitchFamily="18" charset="0"/>
                                <a:ea typeface="+mn-ea"/>
                                <a:cs typeface="+mn-cs"/>
                              </a:rPr>
                              <m:t>𝜎</m:t>
                            </m:r>
                          </m:e>
                          <m:sub>
                            <m:r>
                              <a:rPr lang="ar-AE" sz="1100" i="1">
                                <a:solidFill>
                                  <a:schemeClr val="dk1"/>
                                </a:solidFill>
                                <a:latin typeface="Cambria Math" panose="02040503050406030204" pitchFamily="18" charset="0"/>
                                <a:ea typeface="+mn-ea"/>
                                <a:cs typeface="+mn-cs"/>
                              </a:rPr>
                              <m:t>𝑧</m:t>
                            </m:r>
                          </m:sub>
                        </m:sSub>
                        <m:d>
                          <m:dPr>
                            <m:ctrlPr>
                              <a:rPr lang="ar-AE" sz="1100" i="1">
                                <a:solidFill>
                                  <a:schemeClr val="dk1"/>
                                </a:solidFill>
                                <a:latin typeface="Cambria Math" panose="02040503050406030204" pitchFamily="18" charset="0"/>
                                <a:ea typeface="+mn-ea"/>
                                <a:cs typeface="+mn-cs"/>
                              </a:rPr>
                            </m:ctrlPr>
                          </m:dPr>
                          <m:e>
                            <m:r>
                              <a:rPr lang="ar-AE" sz="1100" i="1">
                                <a:solidFill>
                                  <a:schemeClr val="dk1"/>
                                </a:solidFill>
                                <a:latin typeface="Cambria Math" panose="02040503050406030204" pitchFamily="18" charset="0"/>
                                <a:ea typeface="+mn-ea"/>
                                <a:cs typeface="+mn-cs"/>
                              </a:rPr>
                              <m:t>𝑥</m:t>
                            </m:r>
                          </m:e>
                        </m:d>
                        <m:r>
                          <a:rPr lang="ar-AE" sz="1100" i="0">
                            <a:solidFill>
                              <a:schemeClr val="dk1"/>
                            </a:solidFill>
                            <a:latin typeface="Cambria Math" panose="02040503050406030204" pitchFamily="18" charset="0"/>
                            <a:ea typeface="+mn-ea"/>
                            <a:cs typeface="+mn-cs"/>
                          </a:rPr>
                          <m:t>⋅</m:t>
                        </m:r>
                        <m:r>
                          <a:rPr lang="ar-AE" sz="1100" i="1">
                            <a:solidFill>
                              <a:schemeClr val="dk1"/>
                            </a:solidFill>
                            <a:latin typeface="Cambria Math" panose="02040503050406030204" pitchFamily="18" charset="0"/>
                            <a:ea typeface="+mn-ea"/>
                            <a:cs typeface="+mn-cs"/>
                          </a:rPr>
                          <m:t>𝑢</m:t>
                        </m:r>
                      </m:den>
                    </m:f>
                    <m:r>
                      <a:rPr lang="ar-AE" sz="1100" i="0">
                        <a:solidFill>
                          <a:schemeClr val="dk1"/>
                        </a:solidFill>
                        <a:latin typeface="Cambria Math" panose="02040503050406030204" pitchFamily="18" charset="0"/>
                        <a:ea typeface="+mn-ea"/>
                        <a:cs typeface="+mn-cs"/>
                      </a:rPr>
                      <m:t>⋅</m:t>
                    </m:r>
                    <m:func>
                      <m:funcPr>
                        <m:ctrlPr>
                          <a:rPr lang="ar-AE" sz="1100" i="1">
                            <a:solidFill>
                              <a:schemeClr val="dk1"/>
                            </a:solidFill>
                            <a:latin typeface="Cambria Math" panose="02040503050406030204" pitchFamily="18" charset="0"/>
                            <a:ea typeface="+mn-ea"/>
                            <a:cs typeface="+mn-cs"/>
                          </a:rPr>
                        </m:ctrlPr>
                      </m:funcPr>
                      <m:fName>
                        <m:r>
                          <m:rPr>
                            <m:sty m:val="p"/>
                          </m:rPr>
                          <a:rPr lang="en-US" sz="1100" i="0">
                            <a:solidFill>
                              <a:schemeClr val="dk1"/>
                            </a:solidFill>
                            <a:latin typeface="Cambria Math" panose="02040503050406030204" pitchFamily="18" charset="0"/>
                            <a:ea typeface="+mn-ea"/>
                            <a:cs typeface="+mn-cs"/>
                          </a:rPr>
                          <m:t>exp</m:t>
                        </m:r>
                      </m:fName>
                      <m:e>
                        <m:d>
                          <m:dPr>
                            <m:ctrlPr>
                              <a:rPr lang="ar-AE" sz="1100" i="1">
                                <a:solidFill>
                                  <a:schemeClr val="dk1"/>
                                </a:solidFill>
                                <a:latin typeface="Cambria Math" panose="02040503050406030204" pitchFamily="18" charset="0"/>
                                <a:ea typeface="+mn-ea"/>
                                <a:cs typeface="+mn-cs"/>
                              </a:rPr>
                            </m:ctrlPr>
                          </m:dPr>
                          <m:e>
                            <m:r>
                              <a:rPr lang="ar-AE" sz="1100" i="0">
                                <a:solidFill>
                                  <a:schemeClr val="dk1"/>
                                </a:solidFill>
                                <a:latin typeface="Cambria Math" panose="02040503050406030204" pitchFamily="18" charset="0"/>
                                <a:ea typeface="+mn-ea"/>
                                <a:cs typeface="+mn-cs"/>
                              </a:rPr>
                              <m:t>−</m:t>
                            </m:r>
                            <m:f>
                              <m:fPr>
                                <m:ctrlPr>
                                  <a:rPr lang="ar-AE" sz="1100" i="1">
                                    <a:solidFill>
                                      <a:schemeClr val="dk1"/>
                                    </a:solidFill>
                                    <a:latin typeface="Cambria Math" panose="02040503050406030204" pitchFamily="18" charset="0"/>
                                    <a:ea typeface="+mn-ea"/>
                                    <a:cs typeface="+mn-cs"/>
                                  </a:rPr>
                                </m:ctrlPr>
                              </m:fPr>
                              <m:num>
                                <m:sSup>
                                  <m:sSupPr>
                                    <m:ctrlPr>
                                      <a:rPr lang="ar-AE" sz="1100" i="1">
                                        <a:solidFill>
                                          <a:schemeClr val="dk1"/>
                                        </a:solidFill>
                                        <a:latin typeface="Cambria Math" panose="02040503050406030204" pitchFamily="18" charset="0"/>
                                        <a:ea typeface="+mn-ea"/>
                                        <a:cs typeface="+mn-cs"/>
                                      </a:rPr>
                                    </m:ctrlPr>
                                  </m:sSupPr>
                                  <m:e>
                                    <m:r>
                                      <a:rPr lang="ar-AE" sz="1100" i="1">
                                        <a:solidFill>
                                          <a:schemeClr val="dk1"/>
                                        </a:solidFill>
                                        <a:latin typeface="Cambria Math" panose="02040503050406030204" pitchFamily="18" charset="0"/>
                                        <a:ea typeface="+mn-ea"/>
                                        <a:cs typeface="+mn-cs"/>
                                      </a:rPr>
                                      <m:t>𝐻</m:t>
                                    </m:r>
                                  </m:e>
                                  <m:sup>
                                    <m:r>
                                      <a:rPr lang="ar-AE" sz="1100" i="0">
                                        <a:solidFill>
                                          <a:schemeClr val="dk1"/>
                                        </a:solidFill>
                                        <a:latin typeface="Cambria Math" panose="02040503050406030204" pitchFamily="18" charset="0"/>
                                        <a:ea typeface="+mn-ea"/>
                                        <a:cs typeface="+mn-cs"/>
                                      </a:rPr>
                                      <m:t>2</m:t>
                                    </m:r>
                                  </m:sup>
                                </m:sSup>
                              </m:num>
                              <m:den>
                                <m:r>
                                  <a:rPr lang="ar-AE" sz="1100" i="0">
                                    <a:solidFill>
                                      <a:schemeClr val="dk1"/>
                                    </a:solidFill>
                                    <a:latin typeface="Cambria Math" panose="02040503050406030204" pitchFamily="18" charset="0"/>
                                    <a:ea typeface="+mn-ea"/>
                                    <a:cs typeface="+mn-cs"/>
                                  </a:rPr>
                                  <m:t>2</m:t>
                                </m:r>
                                <m:sSubSup>
                                  <m:sSubSupPr>
                                    <m:ctrlPr>
                                      <a:rPr lang="ar-AE" sz="1100" i="1">
                                        <a:solidFill>
                                          <a:schemeClr val="dk1"/>
                                        </a:solidFill>
                                        <a:latin typeface="Cambria Math" panose="02040503050406030204" pitchFamily="18" charset="0"/>
                                        <a:ea typeface="+mn-ea"/>
                                        <a:cs typeface="+mn-cs"/>
                                      </a:rPr>
                                    </m:ctrlPr>
                                  </m:sSubSupPr>
                                  <m:e>
                                    <m:r>
                                      <a:rPr lang="ar-AE" sz="1100" i="1">
                                        <a:solidFill>
                                          <a:schemeClr val="dk1"/>
                                        </a:solidFill>
                                        <a:latin typeface="Cambria Math" panose="02040503050406030204" pitchFamily="18" charset="0"/>
                                        <a:ea typeface="+mn-ea"/>
                                        <a:cs typeface="+mn-cs"/>
                                      </a:rPr>
                                      <m:t>𝜎</m:t>
                                    </m:r>
                                  </m:e>
                                  <m:sub>
                                    <m:r>
                                      <a:rPr lang="ar-AE" sz="1100" i="1">
                                        <a:solidFill>
                                          <a:schemeClr val="dk1"/>
                                        </a:solidFill>
                                        <a:latin typeface="Cambria Math" panose="02040503050406030204" pitchFamily="18" charset="0"/>
                                        <a:ea typeface="+mn-ea"/>
                                        <a:cs typeface="+mn-cs"/>
                                      </a:rPr>
                                      <m:t>𝑧</m:t>
                                    </m:r>
                                  </m:sub>
                                  <m:sup>
                                    <m:r>
                                      <a:rPr lang="ar-AE" sz="1100" i="0">
                                        <a:solidFill>
                                          <a:schemeClr val="dk1"/>
                                        </a:solidFill>
                                        <a:latin typeface="Cambria Math" panose="02040503050406030204" pitchFamily="18" charset="0"/>
                                        <a:ea typeface="+mn-ea"/>
                                        <a:cs typeface="+mn-cs"/>
                                      </a:rPr>
                                      <m:t>2</m:t>
                                    </m:r>
                                  </m:sup>
                                </m:sSubSup>
                                <m:d>
                                  <m:dPr>
                                    <m:ctrlPr>
                                      <a:rPr lang="ar-AE" sz="1100" i="1">
                                        <a:solidFill>
                                          <a:schemeClr val="dk1"/>
                                        </a:solidFill>
                                        <a:latin typeface="Cambria Math" panose="02040503050406030204" pitchFamily="18" charset="0"/>
                                        <a:ea typeface="+mn-ea"/>
                                        <a:cs typeface="+mn-cs"/>
                                      </a:rPr>
                                    </m:ctrlPr>
                                  </m:dPr>
                                  <m:e>
                                    <m:r>
                                      <a:rPr lang="ar-AE" sz="1100" i="1">
                                        <a:solidFill>
                                          <a:schemeClr val="dk1"/>
                                        </a:solidFill>
                                        <a:latin typeface="Cambria Math" panose="02040503050406030204" pitchFamily="18" charset="0"/>
                                        <a:ea typeface="+mn-ea"/>
                                        <a:cs typeface="+mn-cs"/>
                                      </a:rPr>
                                      <m:t>𝑥</m:t>
                                    </m:r>
                                  </m:e>
                                </m:d>
                              </m:den>
                            </m:f>
                          </m:e>
                        </m:d>
                      </m:e>
                    </m:func>
                  </m:oMath>
                </m:oMathPara>
              </a14:m>
              <a:endParaRPr lang="ar-AE"/>
            </a:p>
            <a:p>
              <a:endParaRPr lang="en-US"/>
            </a:p>
            <a:p>
              <a:r>
                <a:rPr lang="en-US"/>
                <a:t>where </a:t>
              </a:r>
              <a14:m>
                <m:oMath xmlns:m="http://schemas.openxmlformats.org/officeDocument/2006/math">
                  <m:sSub>
                    <m:sSubPr>
                      <m:ctrlPr>
                        <a:rPr lang="ar-AE" sz="1100" i="1">
                          <a:solidFill>
                            <a:schemeClr val="dk1"/>
                          </a:solidFill>
                          <a:latin typeface="Cambria Math" panose="02040503050406030204" pitchFamily="18" charset="0"/>
                          <a:ea typeface="+mn-ea"/>
                          <a:cs typeface="+mn-cs"/>
                        </a:rPr>
                      </m:ctrlPr>
                    </m:sSubPr>
                    <m:e>
                      <m:r>
                        <a:rPr lang="ar-AE" sz="1100" i="1">
                          <a:solidFill>
                            <a:schemeClr val="dk1"/>
                          </a:solidFill>
                          <a:latin typeface="Cambria Math" panose="02040503050406030204" pitchFamily="18" charset="0"/>
                          <a:ea typeface="+mn-ea"/>
                          <a:cs typeface="+mn-cs"/>
                        </a:rPr>
                        <m:t>𝑄</m:t>
                      </m:r>
                    </m:e>
                    <m:sub>
                      <m:r>
                        <a:rPr lang="ar-AE" sz="1100" i="1">
                          <a:solidFill>
                            <a:schemeClr val="dk1"/>
                          </a:solidFill>
                          <a:latin typeface="Cambria Math" panose="02040503050406030204" pitchFamily="18" charset="0"/>
                          <a:ea typeface="+mn-ea"/>
                          <a:cs typeface="+mn-cs"/>
                        </a:rPr>
                        <m:t>𝐸𝑉</m:t>
                      </m:r>
                    </m:sub>
                  </m:sSub>
                  <m:r>
                    <a:rPr lang="ar-AE" sz="1100" i="0">
                      <a:solidFill>
                        <a:schemeClr val="dk1"/>
                      </a:solidFill>
                      <a:latin typeface="Cambria Math" panose="02040503050406030204" pitchFamily="18" charset="0"/>
                      <a:ea typeface="+mn-ea"/>
                      <a:cs typeface="+mn-cs"/>
                    </a:rPr>
                    <m:t>=</m:t>
                  </m:r>
                  <m:f>
                    <m:fPr>
                      <m:ctrlPr>
                        <a:rPr lang="ar-AE" sz="1100" i="1">
                          <a:solidFill>
                            <a:schemeClr val="dk1"/>
                          </a:solidFill>
                          <a:latin typeface="Cambria Math" panose="02040503050406030204" pitchFamily="18" charset="0"/>
                          <a:ea typeface="+mn-ea"/>
                          <a:cs typeface="+mn-cs"/>
                        </a:rPr>
                      </m:ctrlPr>
                    </m:fPr>
                    <m:num>
                      <m:r>
                        <a:rPr lang="ar-AE" sz="1100" i="1">
                          <a:solidFill>
                            <a:schemeClr val="dk1"/>
                          </a:solidFill>
                          <a:latin typeface="Cambria Math" panose="02040503050406030204" pitchFamily="18" charset="0"/>
                          <a:ea typeface="+mn-ea"/>
                          <a:cs typeface="+mn-cs"/>
                        </a:rPr>
                        <m:t>𝑉</m:t>
                      </m:r>
                    </m:num>
                    <m:den>
                      <m:r>
                        <a:rPr lang="ar-AE" sz="1100" i="0">
                          <a:solidFill>
                            <a:schemeClr val="dk1"/>
                          </a:solidFill>
                          <a:latin typeface="Cambria Math" panose="02040503050406030204" pitchFamily="18" charset="0"/>
                          <a:ea typeface="+mn-ea"/>
                          <a:cs typeface="+mn-cs"/>
                        </a:rPr>
                        <m:t>3600</m:t>
                      </m:r>
                    </m:den>
                  </m:f>
                  <m:r>
                    <a:rPr lang="ar-AE" sz="1100" i="0">
                      <a:solidFill>
                        <a:schemeClr val="dk1"/>
                      </a:solidFill>
                      <a:latin typeface="Cambria Math" panose="02040503050406030204" pitchFamily="18" charset="0"/>
                      <a:ea typeface="+mn-ea"/>
                      <a:cs typeface="+mn-cs"/>
                    </a:rPr>
                    <m:t>⋅</m:t>
                  </m:r>
                  <m:d>
                    <m:dPr>
                      <m:begChr m:val="["/>
                      <m:endChr m:val="]"/>
                      <m:ctrlPr>
                        <a:rPr lang="ar-AE" sz="1100" i="1">
                          <a:solidFill>
                            <a:schemeClr val="dk1"/>
                          </a:solidFill>
                          <a:latin typeface="Cambria Math" panose="02040503050406030204" pitchFamily="18" charset="0"/>
                          <a:ea typeface="+mn-ea"/>
                          <a:cs typeface="+mn-cs"/>
                        </a:rPr>
                      </m:ctrlPr>
                    </m:dPr>
                    <m:e>
                      <m:d>
                        <m:dPr>
                          <m:ctrlPr>
                            <a:rPr lang="ar-AE" sz="1100" i="1">
                              <a:solidFill>
                                <a:schemeClr val="dk1"/>
                              </a:solidFill>
                              <a:latin typeface="Cambria Math" panose="02040503050406030204" pitchFamily="18" charset="0"/>
                              <a:ea typeface="+mn-ea"/>
                              <a:cs typeface="+mn-cs"/>
                            </a:rPr>
                          </m:ctrlPr>
                        </m:dPr>
                        <m:e>
                          <m:r>
                            <a:rPr lang="ar-AE" sz="1100" i="0">
                              <a:solidFill>
                                <a:schemeClr val="dk1"/>
                              </a:solidFill>
                              <a:latin typeface="Cambria Math" panose="02040503050406030204" pitchFamily="18" charset="0"/>
                              <a:ea typeface="+mn-ea"/>
                              <a:cs typeface="+mn-cs"/>
                            </a:rPr>
                            <m:t>1</m:t>
                          </m:r>
                          <m:r>
                            <a:rPr lang="ar-AE" sz="1100" i="0">
                              <a:solidFill>
                                <a:schemeClr val="dk1"/>
                              </a:solidFill>
                              <a:latin typeface="Cambria Math" panose="02040503050406030204" pitchFamily="18" charset="0"/>
                              <a:ea typeface="+mn-ea"/>
                              <a:cs typeface="+mn-cs"/>
                            </a:rPr>
                            <m:t>−</m:t>
                          </m:r>
                          <m:sSub>
                            <m:sSubPr>
                              <m:ctrlPr>
                                <a:rPr lang="ar-AE" sz="1100" i="1">
                                  <a:solidFill>
                                    <a:schemeClr val="dk1"/>
                                  </a:solidFill>
                                  <a:latin typeface="Cambria Math" panose="02040503050406030204" pitchFamily="18" charset="0"/>
                                  <a:ea typeface="+mn-ea"/>
                                  <a:cs typeface="+mn-cs"/>
                                </a:rPr>
                              </m:ctrlPr>
                            </m:sSubPr>
                            <m:e>
                              <m:r>
                                <a:rPr lang="ar-AE" sz="1100" i="1">
                                  <a:solidFill>
                                    <a:schemeClr val="dk1"/>
                                  </a:solidFill>
                                  <a:latin typeface="Cambria Math" panose="02040503050406030204" pitchFamily="18" charset="0"/>
                                  <a:ea typeface="+mn-ea"/>
                                  <a:cs typeface="+mn-cs"/>
                                </a:rPr>
                                <m:t>𝑓</m:t>
                              </m:r>
                            </m:e>
                            <m:sub>
                              <m:r>
                                <a:rPr lang="ar-AE" sz="1100" i="1">
                                  <a:solidFill>
                                    <a:schemeClr val="dk1"/>
                                  </a:solidFill>
                                  <a:latin typeface="Cambria Math" panose="02040503050406030204" pitchFamily="18" charset="0"/>
                                  <a:ea typeface="+mn-ea"/>
                                  <a:cs typeface="+mn-cs"/>
                                </a:rPr>
                                <m:t>𝐸𝑉</m:t>
                              </m:r>
                            </m:sub>
                          </m:sSub>
                        </m:e>
                      </m:d>
                      <m:r>
                        <a:rPr lang="ar-AE" sz="1100" i="0">
                          <a:solidFill>
                            <a:schemeClr val="dk1"/>
                          </a:solidFill>
                          <a:latin typeface="Cambria Math" panose="02040503050406030204" pitchFamily="18" charset="0"/>
                          <a:ea typeface="+mn-ea"/>
                          <a:cs typeface="+mn-cs"/>
                        </a:rPr>
                        <m:t>⋅</m:t>
                      </m:r>
                      <m:r>
                        <a:rPr lang="ar-AE" sz="1100" i="1">
                          <a:solidFill>
                            <a:schemeClr val="dk1"/>
                          </a:solidFill>
                          <a:latin typeface="Cambria Math" panose="02040503050406030204" pitchFamily="18" charset="0"/>
                          <a:ea typeface="+mn-ea"/>
                          <a:cs typeface="+mn-cs"/>
                        </a:rPr>
                        <m:t>𝐸</m:t>
                      </m:r>
                      <m:sSub>
                        <m:sSubPr>
                          <m:ctrlPr>
                            <a:rPr lang="ar-AE" sz="1100" i="1">
                              <a:solidFill>
                                <a:schemeClr val="dk1"/>
                              </a:solidFill>
                              <a:latin typeface="Cambria Math" panose="02040503050406030204" pitchFamily="18" charset="0"/>
                              <a:ea typeface="+mn-ea"/>
                              <a:cs typeface="+mn-cs"/>
                            </a:rPr>
                          </m:ctrlPr>
                        </m:sSubPr>
                        <m:e>
                          <m:r>
                            <a:rPr lang="ar-AE" sz="1100" i="1">
                              <a:solidFill>
                                <a:schemeClr val="dk1"/>
                              </a:solidFill>
                              <a:latin typeface="Cambria Math" panose="02040503050406030204" pitchFamily="18" charset="0"/>
                              <a:ea typeface="+mn-ea"/>
                              <a:cs typeface="+mn-cs"/>
                            </a:rPr>
                            <m:t>𝐹</m:t>
                          </m:r>
                        </m:e>
                        <m:sub>
                          <m:r>
                            <a:rPr lang="ar-AE" sz="1100" i="1">
                              <a:solidFill>
                                <a:schemeClr val="dk1"/>
                              </a:solidFill>
                              <a:latin typeface="Cambria Math" panose="02040503050406030204" pitchFamily="18" charset="0"/>
                              <a:ea typeface="+mn-ea"/>
                              <a:cs typeface="+mn-cs"/>
                            </a:rPr>
                            <m:t>𝐼𝐶𝐸</m:t>
                          </m:r>
                        </m:sub>
                      </m:sSub>
                      <m:r>
                        <a:rPr lang="ar-AE" sz="1100" i="0">
                          <a:solidFill>
                            <a:schemeClr val="dk1"/>
                          </a:solidFill>
                          <a:latin typeface="Cambria Math" panose="02040503050406030204" pitchFamily="18" charset="0"/>
                          <a:ea typeface="+mn-ea"/>
                          <a:cs typeface="+mn-cs"/>
                        </a:rPr>
                        <m:t>+</m:t>
                      </m:r>
                      <m:sSub>
                        <m:sSubPr>
                          <m:ctrlPr>
                            <a:rPr lang="ar-AE" sz="1100" i="1">
                              <a:solidFill>
                                <a:schemeClr val="dk1"/>
                              </a:solidFill>
                              <a:latin typeface="Cambria Math" panose="02040503050406030204" pitchFamily="18" charset="0"/>
                              <a:ea typeface="+mn-ea"/>
                              <a:cs typeface="+mn-cs"/>
                            </a:rPr>
                          </m:ctrlPr>
                        </m:sSubPr>
                        <m:e>
                          <m:r>
                            <a:rPr lang="ar-AE" sz="1100" i="1">
                              <a:solidFill>
                                <a:schemeClr val="dk1"/>
                              </a:solidFill>
                              <a:latin typeface="Cambria Math" panose="02040503050406030204" pitchFamily="18" charset="0"/>
                              <a:ea typeface="+mn-ea"/>
                              <a:cs typeface="+mn-cs"/>
                            </a:rPr>
                            <m:t>𝑓</m:t>
                          </m:r>
                        </m:e>
                        <m:sub>
                          <m:r>
                            <a:rPr lang="ar-AE" sz="1100" i="1">
                              <a:solidFill>
                                <a:schemeClr val="dk1"/>
                              </a:solidFill>
                              <a:latin typeface="Cambria Math" panose="02040503050406030204" pitchFamily="18" charset="0"/>
                              <a:ea typeface="+mn-ea"/>
                              <a:cs typeface="+mn-cs"/>
                            </a:rPr>
                            <m:t>𝐸𝑉</m:t>
                          </m:r>
                        </m:sub>
                      </m:sSub>
                      <m:r>
                        <a:rPr lang="ar-AE" sz="1100" i="0">
                          <a:solidFill>
                            <a:schemeClr val="dk1"/>
                          </a:solidFill>
                          <a:latin typeface="Cambria Math" panose="02040503050406030204" pitchFamily="18" charset="0"/>
                          <a:ea typeface="+mn-ea"/>
                          <a:cs typeface="+mn-cs"/>
                        </a:rPr>
                        <m:t>⋅</m:t>
                      </m:r>
                      <m:r>
                        <a:rPr lang="ar-AE" sz="1100" i="1">
                          <a:solidFill>
                            <a:schemeClr val="dk1"/>
                          </a:solidFill>
                          <a:latin typeface="Cambria Math" panose="02040503050406030204" pitchFamily="18" charset="0"/>
                          <a:ea typeface="+mn-ea"/>
                          <a:cs typeface="+mn-cs"/>
                        </a:rPr>
                        <m:t>𝐸</m:t>
                      </m:r>
                      <m:sSub>
                        <m:sSubPr>
                          <m:ctrlPr>
                            <a:rPr lang="ar-AE" sz="1100" i="1">
                              <a:solidFill>
                                <a:schemeClr val="dk1"/>
                              </a:solidFill>
                              <a:latin typeface="Cambria Math" panose="02040503050406030204" pitchFamily="18" charset="0"/>
                              <a:ea typeface="+mn-ea"/>
                              <a:cs typeface="+mn-cs"/>
                            </a:rPr>
                          </m:ctrlPr>
                        </m:sSubPr>
                        <m:e>
                          <m:r>
                            <a:rPr lang="ar-AE" sz="1100" i="1">
                              <a:solidFill>
                                <a:schemeClr val="dk1"/>
                              </a:solidFill>
                              <a:latin typeface="Cambria Math" panose="02040503050406030204" pitchFamily="18" charset="0"/>
                              <a:ea typeface="+mn-ea"/>
                              <a:cs typeface="+mn-cs"/>
                            </a:rPr>
                            <m:t>𝐹</m:t>
                          </m:r>
                        </m:e>
                        <m:sub>
                          <m:r>
                            <a:rPr lang="ar-AE" sz="1100" i="1">
                              <a:solidFill>
                                <a:schemeClr val="dk1"/>
                              </a:solidFill>
                              <a:latin typeface="Cambria Math" panose="02040503050406030204" pitchFamily="18" charset="0"/>
                              <a:ea typeface="+mn-ea"/>
                              <a:cs typeface="+mn-cs"/>
                            </a:rPr>
                            <m:t>𝐸𝑉</m:t>
                          </m:r>
                        </m:sub>
                      </m:sSub>
                    </m:e>
                  </m:d>
                </m:oMath>
              </a14:m>
              <a:endParaRPr lang="ar-AE"/>
            </a:p>
            <a:p>
              <a:r>
                <a:rPr lang="en-US"/>
                <a:t>The only difference from baseline is Q — the dispersion geometry is unchanged.</a:t>
              </a:r>
            </a:p>
            <a:p>
              <a:endParaRPr lang="en-US"/>
            </a:p>
            <a:p>
              <a:r>
                <a:rPr lang="en-US" b="1"/>
                <a:t>Barrier only concentration</a:t>
              </a:r>
              <a:endParaRPr lang="en-US"/>
            </a:p>
            <a:p>
              <a:pPr/>
              <a14:m>
                <m:oMathPara xmlns:m="http://schemas.openxmlformats.org/officeDocument/2006/math">
                  <m:oMathParaPr>
                    <m:jc m:val="centerGroup"/>
                  </m:oMathParaPr>
                  <m:oMath xmlns:m="http://schemas.openxmlformats.org/officeDocument/2006/math">
                    <m:sSub>
                      <m:sSubPr>
                        <m:ctrlPr>
                          <a:rPr lang="ar-AE" sz="1100" i="1">
                            <a:solidFill>
                              <a:schemeClr val="dk1"/>
                            </a:solidFill>
                            <a:latin typeface="Cambria Math" panose="02040503050406030204" pitchFamily="18" charset="0"/>
                            <a:ea typeface="+mn-ea"/>
                            <a:cs typeface="+mn-cs"/>
                          </a:rPr>
                        </m:ctrlPr>
                      </m:sSubPr>
                      <m:e>
                        <m:r>
                          <a:rPr lang="ar-AE" sz="1100" i="1">
                            <a:solidFill>
                              <a:schemeClr val="dk1"/>
                            </a:solidFill>
                            <a:latin typeface="Cambria Math" panose="02040503050406030204" pitchFamily="18" charset="0"/>
                            <a:ea typeface="+mn-ea"/>
                            <a:cs typeface="+mn-cs"/>
                          </a:rPr>
                          <m:t>𝐶</m:t>
                        </m:r>
                      </m:e>
                      <m:sub>
                        <m:r>
                          <a:rPr lang="ar-AE" sz="1100" i="1">
                            <a:solidFill>
                              <a:schemeClr val="dk1"/>
                            </a:solidFill>
                            <a:latin typeface="Cambria Math" panose="02040503050406030204" pitchFamily="18" charset="0"/>
                            <a:ea typeface="+mn-ea"/>
                            <a:cs typeface="+mn-cs"/>
                          </a:rPr>
                          <m:t>𝑏𝑎𝑟𝑟𝑖𝑒𝑟</m:t>
                        </m:r>
                      </m:sub>
                    </m:sSub>
                    <m:d>
                      <m:dPr>
                        <m:ctrlPr>
                          <a:rPr lang="ar-AE" sz="1100" i="1">
                            <a:solidFill>
                              <a:schemeClr val="dk1"/>
                            </a:solidFill>
                            <a:latin typeface="Cambria Math" panose="02040503050406030204" pitchFamily="18" charset="0"/>
                            <a:ea typeface="+mn-ea"/>
                            <a:cs typeface="+mn-cs"/>
                          </a:rPr>
                        </m:ctrlPr>
                      </m:dPr>
                      <m:e>
                        <m:r>
                          <a:rPr lang="ar-AE" sz="1100" i="1">
                            <a:solidFill>
                              <a:schemeClr val="dk1"/>
                            </a:solidFill>
                            <a:latin typeface="Cambria Math" panose="02040503050406030204" pitchFamily="18" charset="0"/>
                            <a:ea typeface="+mn-ea"/>
                            <a:cs typeface="+mn-cs"/>
                          </a:rPr>
                          <m:t>𝑥</m:t>
                        </m:r>
                      </m:e>
                    </m:d>
                    <m:r>
                      <a:rPr lang="ar-AE" sz="1100" i="0">
                        <a:solidFill>
                          <a:schemeClr val="dk1"/>
                        </a:solidFill>
                        <a:latin typeface="Cambria Math" panose="02040503050406030204" pitchFamily="18" charset="0"/>
                        <a:ea typeface="+mn-ea"/>
                        <a:cs typeface="+mn-cs"/>
                      </a:rPr>
                      <m:t>=</m:t>
                    </m:r>
                    <m:sSub>
                      <m:sSubPr>
                        <m:ctrlPr>
                          <a:rPr lang="ar-AE" sz="1100" i="1">
                            <a:solidFill>
                              <a:schemeClr val="dk1"/>
                            </a:solidFill>
                            <a:latin typeface="Cambria Math" panose="02040503050406030204" pitchFamily="18" charset="0"/>
                            <a:ea typeface="+mn-ea"/>
                            <a:cs typeface="+mn-cs"/>
                          </a:rPr>
                        </m:ctrlPr>
                      </m:sSubPr>
                      <m:e>
                        <m:r>
                          <a:rPr lang="ar-AE" sz="1100" i="1">
                            <a:solidFill>
                              <a:schemeClr val="dk1"/>
                            </a:solidFill>
                            <a:latin typeface="Cambria Math" panose="02040503050406030204" pitchFamily="18" charset="0"/>
                            <a:ea typeface="+mn-ea"/>
                            <a:cs typeface="+mn-cs"/>
                          </a:rPr>
                          <m:t>𝐶</m:t>
                        </m:r>
                      </m:e>
                      <m:sub>
                        <m:r>
                          <a:rPr lang="ar-AE" sz="1100" i="1">
                            <a:solidFill>
                              <a:schemeClr val="dk1"/>
                            </a:solidFill>
                            <a:latin typeface="Cambria Math" panose="02040503050406030204" pitchFamily="18" charset="0"/>
                            <a:ea typeface="+mn-ea"/>
                            <a:cs typeface="+mn-cs"/>
                          </a:rPr>
                          <m:t>𝑏𝑎𝑠𝑒</m:t>
                        </m:r>
                      </m:sub>
                    </m:sSub>
                    <m:d>
                      <m:dPr>
                        <m:ctrlPr>
                          <a:rPr lang="ar-AE" sz="1100" i="1">
                            <a:solidFill>
                              <a:schemeClr val="dk1"/>
                            </a:solidFill>
                            <a:latin typeface="Cambria Math" panose="02040503050406030204" pitchFamily="18" charset="0"/>
                            <a:ea typeface="+mn-ea"/>
                            <a:cs typeface="+mn-cs"/>
                          </a:rPr>
                        </m:ctrlPr>
                      </m:dPr>
                      <m:e>
                        <m:r>
                          <a:rPr lang="ar-AE" sz="1100" i="1">
                            <a:solidFill>
                              <a:schemeClr val="dk1"/>
                            </a:solidFill>
                            <a:latin typeface="Cambria Math" panose="02040503050406030204" pitchFamily="18" charset="0"/>
                            <a:ea typeface="+mn-ea"/>
                            <a:cs typeface="+mn-cs"/>
                          </a:rPr>
                          <m:t>𝑥</m:t>
                        </m:r>
                      </m:e>
                    </m:d>
                    <m:r>
                      <a:rPr lang="ar-AE" sz="1100" i="0">
                        <a:solidFill>
                          <a:schemeClr val="dk1"/>
                        </a:solidFill>
                        <a:latin typeface="Cambria Math" panose="02040503050406030204" pitchFamily="18" charset="0"/>
                        <a:ea typeface="+mn-ea"/>
                        <a:cs typeface="+mn-cs"/>
                      </a:rPr>
                      <m:t>⋅</m:t>
                    </m:r>
                    <m:d>
                      <m:dPr>
                        <m:begChr m:val="["/>
                        <m:endChr m:val="]"/>
                        <m:ctrlPr>
                          <a:rPr lang="ar-AE" sz="1100" i="1">
                            <a:solidFill>
                              <a:schemeClr val="dk1"/>
                            </a:solidFill>
                            <a:latin typeface="Cambria Math" panose="02040503050406030204" pitchFamily="18" charset="0"/>
                            <a:ea typeface="+mn-ea"/>
                            <a:cs typeface="+mn-cs"/>
                          </a:rPr>
                        </m:ctrlPr>
                      </m:dPr>
                      <m:e>
                        <m:r>
                          <a:rPr lang="ar-AE" sz="1100" i="0">
                            <a:solidFill>
                              <a:schemeClr val="dk1"/>
                            </a:solidFill>
                            <a:latin typeface="Cambria Math" panose="02040503050406030204" pitchFamily="18" charset="0"/>
                            <a:ea typeface="+mn-ea"/>
                            <a:cs typeface="+mn-cs"/>
                          </a:rPr>
                          <m:t>1</m:t>
                        </m:r>
                        <m:r>
                          <a:rPr lang="ar-AE" sz="1100" i="0">
                            <a:solidFill>
                              <a:schemeClr val="dk1"/>
                            </a:solidFill>
                            <a:latin typeface="Cambria Math" panose="02040503050406030204" pitchFamily="18" charset="0"/>
                            <a:ea typeface="+mn-ea"/>
                            <a:cs typeface="+mn-cs"/>
                          </a:rPr>
                          <m:t>−</m:t>
                        </m:r>
                        <m:r>
                          <a:rPr lang="ar-AE" sz="1100" i="1">
                            <a:solidFill>
                              <a:schemeClr val="dk1"/>
                            </a:solidFill>
                            <a:latin typeface="Cambria Math" panose="02040503050406030204" pitchFamily="18" charset="0"/>
                            <a:ea typeface="+mn-ea"/>
                            <a:cs typeface="+mn-cs"/>
                          </a:rPr>
                          <m:t>𝑆</m:t>
                        </m:r>
                        <m:r>
                          <a:rPr lang="ar-AE" sz="1100" i="0">
                            <a:solidFill>
                              <a:schemeClr val="dk1"/>
                            </a:solidFill>
                            <a:latin typeface="Cambria Math" panose="02040503050406030204" pitchFamily="18" charset="0"/>
                            <a:ea typeface="+mn-ea"/>
                            <a:cs typeface="+mn-cs"/>
                          </a:rPr>
                          <m:t>⋅</m:t>
                        </m:r>
                        <m:d>
                          <m:dPr>
                            <m:ctrlPr>
                              <a:rPr lang="ar-AE" sz="1100" i="1">
                                <a:solidFill>
                                  <a:schemeClr val="dk1"/>
                                </a:solidFill>
                                <a:latin typeface="Cambria Math" panose="02040503050406030204" pitchFamily="18" charset="0"/>
                                <a:ea typeface="+mn-ea"/>
                                <a:cs typeface="+mn-cs"/>
                              </a:rPr>
                            </m:ctrlPr>
                          </m:dPr>
                          <m:e>
                            <m:r>
                              <a:rPr lang="ar-AE" sz="1100" i="0">
                                <a:solidFill>
                                  <a:schemeClr val="dk1"/>
                                </a:solidFill>
                                <a:latin typeface="Cambria Math" panose="02040503050406030204" pitchFamily="18" charset="0"/>
                                <a:ea typeface="+mn-ea"/>
                                <a:cs typeface="+mn-cs"/>
                              </a:rPr>
                              <m:t>1</m:t>
                            </m:r>
                            <m:r>
                              <a:rPr lang="ar-AE" sz="1100" i="0">
                                <a:solidFill>
                                  <a:schemeClr val="dk1"/>
                                </a:solidFill>
                                <a:latin typeface="Cambria Math" panose="02040503050406030204" pitchFamily="18" charset="0"/>
                                <a:ea typeface="+mn-ea"/>
                                <a:cs typeface="+mn-cs"/>
                              </a:rPr>
                              <m:t>−</m:t>
                            </m:r>
                            <m:sSup>
                              <m:sSupPr>
                                <m:ctrlPr>
                                  <a:rPr lang="ar-AE" sz="1100" i="1">
                                    <a:solidFill>
                                      <a:schemeClr val="dk1"/>
                                    </a:solidFill>
                                    <a:latin typeface="Cambria Math" panose="02040503050406030204" pitchFamily="18" charset="0"/>
                                    <a:ea typeface="+mn-ea"/>
                                    <a:cs typeface="+mn-cs"/>
                                  </a:rPr>
                                </m:ctrlPr>
                              </m:sSupPr>
                              <m:e>
                                <m:r>
                                  <a:rPr lang="ar-AE" sz="1100" i="1">
                                    <a:solidFill>
                                      <a:schemeClr val="dk1"/>
                                    </a:solidFill>
                                    <a:latin typeface="Cambria Math" panose="02040503050406030204" pitchFamily="18" charset="0"/>
                                    <a:ea typeface="+mn-ea"/>
                                    <a:cs typeface="+mn-cs"/>
                                  </a:rPr>
                                  <m:t>𝑒</m:t>
                                </m:r>
                              </m:e>
                              <m:sup>
                                <m:r>
                                  <a:rPr lang="ar-AE" sz="1100" i="0">
                                    <a:solidFill>
                                      <a:schemeClr val="dk1"/>
                                    </a:solidFill>
                                    <a:latin typeface="Cambria Math" panose="02040503050406030204" pitchFamily="18" charset="0"/>
                                    <a:ea typeface="+mn-ea"/>
                                    <a:cs typeface="+mn-cs"/>
                                  </a:rPr>
                                  <m:t>−</m:t>
                                </m:r>
                                <m:r>
                                  <a:rPr lang="ar-AE" sz="1100" i="1">
                                    <a:solidFill>
                                      <a:schemeClr val="dk1"/>
                                    </a:solidFill>
                                    <a:latin typeface="Cambria Math" panose="02040503050406030204" pitchFamily="18" charset="0"/>
                                    <a:ea typeface="+mn-ea"/>
                                    <a:cs typeface="+mn-cs"/>
                                  </a:rPr>
                                  <m:t>𝑥</m:t>
                                </m:r>
                                <m:r>
                                  <a:rPr lang="ar-AE" sz="1100" i="0">
                                    <a:solidFill>
                                      <a:schemeClr val="dk1"/>
                                    </a:solidFill>
                                    <a:latin typeface="Cambria Math" panose="02040503050406030204" pitchFamily="18" charset="0"/>
                                    <a:ea typeface="+mn-ea"/>
                                    <a:cs typeface="+mn-cs"/>
                                  </a:rPr>
                                  <m:t>/</m:t>
                                </m:r>
                                <m:r>
                                  <a:rPr lang="ar-AE" sz="1100" i="1">
                                    <a:solidFill>
                                      <a:schemeClr val="dk1"/>
                                    </a:solidFill>
                                    <a:latin typeface="Cambria Math" panose="02040503050406030204" pitchFamily="18" charset="0"/>
                                    <a:ea typeface="+mn-ea"/>
                                    <a:cs typeface="+mn-cs"/>
                                  </a:rPr>
                                  <m:t>𝐿</m:t>
                                </m:r>
                              </m:sup>
                            </m:sSup>
                          </m:e>
                        </m:d>
                      </m:e>
                    </m:d>
                  </m:oMath>
                </m:oMathPara>
              </a14:m>
              <a:endParaRPr lang="ar-AE"/>
            </a:p>
            <a:p>
              <a:endParaRPr lang="en-US"/>
            </a:p>
            <a:p>
              <a:r>
                <a:rPr lang="en-US"/>
                <a:t>where is the maximum shielding factor and </a:t>
              </a:r>
              <a14:m>
                <m:oMath xmlns:m="http://schemas.openxmlformats.org/officeDocument/2006/math">
                  <m:r>
                    <a:rPr lang="en-US" sz="1100" i="1">
                      <a:solidFill>
                        <a:schemeClr val="dk1"/>
                      </a:solidFill>
                      <a:latin typeface="Cambria Math" panose="02040503050406030204" pitchFamily="18" charset="0"/>
                      <a:ea typeface="+mn-ea"/>
                      <a:cs typeface="+mn-cs"/>
                    </a:rPr>
                    <m:t>𝐿</m:t>
                  </m:r>
                  <m:r>
                    <a:rPr lang="en-US" sz="1100" i="0">
                      <a:solidFill>
                        <a:schemeClr val="dk1"/>
                      </a:solidFill>
                      <a:latin typeface="Cambria Math" panose="02040503050406030204" pitchFamily="18" charset="0"/>
                      <a:ea typeface="+mn-ea"/>
                      <a:cs typeface="+mn-cs"/>
                    </a:rPr>
                    <m:t>=</m:t>
                  </m:r>
                  <m:r>
                    <a:rPr lang="en-US" sz="1100" i="0">
                      <a:solidFill>
                        <a:schemeClr val="dk1"/>
                      </a:solidFill>
                      <a:latin typeface="Cambria Math" panose="02040503050406030204" pitchFamily="18" charset="0"/>
                      <a:ea typeface="+mn-ea"/>
                      <a:cs typeface="+mn-cs"/>
                    </a:rPr>
                    <m:t>150</m:t>
                  </m:r>
                  <m:r>
                    <a:rPr lang="en-US" sz="1100" i="0">
                      <a:solidFill>
                        <a:schemeClr val="dk1"/>
                      </a:solidFill>
                      <a:latin typeface="Cambria Math" panose="02040503050406030204" pitchFamily="18" charset="0"/>
                      <a:ea typeface="+mn-ea"/>
                      <a:cs typeface="+mn-cs"/>
                    </a:rPr>
                    <m:t>⋅</m:t>
                  </m:r>
                  <m:d>
                    <m:dPr>
                      <m:ctrlPr>
                        <a:rPr lang="ar-AE" sz="1100" i="1">
                          <a:solidFill>
                            <a:schemeClr val="dk1"/>
                          </a:solidFill>
                          <a:latin typeface="Cambria Math" panose="02040503050406030204" pitchFamily="18" charset="0"/>
                          <a:ea typeface="+mn-ea"/>
                          <a:cs typeface="+mn-cs"/>
                        </a:rPr>
                      </m:ctrlPr>
                    </m:dPr>
                    <m:e>
                      <m:sSub>
                        <m:sSubPr>
                          <m:ctrlPr>
                            <a:rPr lang="ar-AE" sz="1100" i="1">
                              <a:solidFill>
                                <a:schemeClr val="dk1"/>
                              </a:solidFill>
                              <a:latin typeface="Cambria Math" panose="02040503050406030204" pitchFamily="18" charset="0"/>
                              <a:ea typeface="+mn-ea"/>
                              <a:cs typeface="+mn-cs"/>
                            </a:rPr>
                          </m:ctrlPr>
                        </m:sSubPr>
                        <m:e>
                          <m:r>
                            <a:rPr lang="ar-AE" sz="1100" i="1">
                              <a:solidFill>
                                <a:schemeClr val="dk1"/>
                              </a:solidFill>
                              <a:latin typeface="Cambria Math" panose="02040503050406030204" pitchFamily="18" charset="0"/>
                              <a:ea typeface="+mn-ea"/>
                              <a:cs typeface="+mn-cs"/>
                            </a:rPr>
                            <m:t>h</m:t>
                          </m:r>
                        </m:e>
                        <m:sub>
                          <m:r>
                            <a:rPr lang="ar-AE" sz="1100" i="1">
                              <a:solidFill>
                                <a:schemeClr val="dk1"/>
                              </a:solidFill>
                              <a:latin typeface="Cambria Math" panose="02040503050406030204" pitchFamily="18" charset="0"/>
                              <a:ea typeface="+mn-ea"/>
                              <a:cs typeface="+mn-cs"/>
                            </a:rPr>
                            <m:t>𝑏</m:t>
                          </m:r>
                        </m:sub>
                      </m:sSub>
                      <m:r>
                        <a:rPr lang="ar-AE" sz="1100" i="0">
                          <a:solidFill>
                            <a:schemeClr val="dk1"/>
                          </a:solidFill>
                          <a:latin typeface="Cambria Math" panose="02040503050406030204" pitchFamily="18" charset="0"/>
                          <a:ea typeface="+mn-ea"/>
                          <a:cs typeface="+mn-cs"/>
                        </a:rPr>
                        <m:t>+</m:t>
                      </m:r>
                      <m:r>
                        <a:rPr lang="ar-AE" sz="1100" i="0">
                          <a:solidFill>
                            <a:schemeClr val="dk1"/>
                          </a:solidFill>
                          <a:latin typeface="Cambria Math" panose="02040503050406030204" pitchFamily="18" charset="0"/>
                          <a:ea typeface="+mn-ea"/>
                          <a:cs typeface="+mn-cs"/>
                        </a:rPr>
                        <m:t>1</m:t>
                      </m:r>
                    </m:e>
                  </m:d>
                </m:oMath>
              </a14:m>
              <a:r>
                <a:rPr lang="en-US"/>
                <a:t>is the decay length constant. The bracketed term is the barrier multiplier — it approaches 1 (no effect) as </a:t>
              </a:r>
              <a14:m>
                <m:oMath xmlns:m="http://schemas.openxmlformats.org/officeDocument/2006/math">
                  <m:r>
                    <a:rPr lang="en-US" sz="1100" i="1">
                      <a:solidFill>
                        <a:schemeClr val="dk1"/>
                      </a:solidFill>
                      <a:latin typeface="Cambria Math" panose="02040503050406030204" pitchFamily="18" charset="0"/>
                      <a:ea typeface="+mn-ea"/>
                      <a:cs typeface="+mn-cs"/>
                    </a:rPr>
                    <m:t>𝑥</m:t>
                  </m:r>
                  <m:r>
                    <a:rPr lang="en-US" sz="1100" i="0">
                      <a:solidFill>
                        <a:schemeClr val="dk1"/>
                      </a:solidFill>
                      <a:latin typeface="Cambria Math" panose="02040503050406030204" pitchFamily="18" charset="0"/>
                      <a:ea typeface="+mn-ea"/>
                      <a:cs typeface="+mn-cs"/>
                    </a:rPr>
                    <m:t>→∞</m:t>
                  </m:r>
                </m:oMath>
              </a14:m>
              <a:r>
                <a:rPr lang="en-US"/>
                <a:t>.</a:t>
              </a:r>
            </a:p>
            <a:p>
              <a:endParaRPr lang="ar-AE"/>
            </a:p>
            <a:p>
              <a:r>
                <a:rPr lang="en-US" b="1"/>
                <a:t>Combined concentration</a:t>
              </a:r>
              <a:endParaRPr lang="en-US"/>
            </a:p>
            <a:p>
              <a:pPr/>
              <a14:m>
                <m:oMathPara xmlns:m="http://schemas.openxmlformats.org/officeDocument/2006/math">
                  <m:oMathParaPr>
                    <m:jc m:val="centerGroup"/>
                  </m:oMathParaPr>
                  <m:oMath xmlns:m="http://schemas.openxmlformats.org/officeDocument/2006/math">
                    <m:sSub>
                      <m:sSubPr>
                        <m:ctrlPr>
                          <a:rPr lang="ar-AE" sz="1100" i="1">
                            <a:solidFill>
                              <a:schemeClr val="dk1"/>
                            </a:solidFill>
                            <a:latin typeface="Cambria Math" panose="02040503050406030204" pitchFamily="18" charset="0"/>
                            <a:ea typeface="+mn-ea"/>
                            <a:cs typeface="+mn-cs"/>
                          </a:rPr>
                        </m:ctrlPr>
                      </m:sSubPr>
                      <m:e>
                        <m:r>
                          <a:rPr lang="ar-AE" sz="1100" i="1">
                            <a:solidFill>
                              <a:schemeClr val="dk1"/>
                            </a:solidFill>
                            <a:latin typeface="Cambria Math" panose="02040503050406030204" pitchFamily="18" charset="0"/>
                            <a:ea typeface="+mn-ea"/>
                            <a:cs typeface="+mn-cs"/>
                          </a:rPr>
                          <m:t>𝐶</m:t>
                        </m:r>
                      </m:e>
                      <m:sub>
                        <m:r>
                          <a:rPr lang="ar-AE" sz="1100" i="1">
                            <a:solidFill>
                              <a:schemeClr val="dk1"/>
                            </a:solidFill>
                            <a:latin typeface="Cambria Math" panose="02040503050406030204" pitchFamily="18" charset="0"/>
                            <a:ea typeface="+mn-ea"/>
                            <a:cs typeface="+mn-cs"/>
                          </a:rPr>
                          <m:t>𝑐𝑜𝑚𝑏𝑖𝑛𝑒𝑑</m:t>
                        </m:r>
                      </m:sub>
                    </m:sSub>
                    <m:d>
                      <m:dPr>
                        <m:ctrlPr>
                          <a:rPr lang="ar-AE" sz="1100" i="1">
                            <a:solidFill>
                              <a:schemeClr val="dk1"/>
                            </a:solidFill>
                            <a:latin typeface="Cambria Math" panose="02040503050406030204" pitchFamily="18" charset="0"/>
                            <a:ea typeface="+mn-ea"/>
                            <a:cs typeface="+mn-cs"/>
                          </a:rPr>
                        </m:ctrlPr>
                      </m:dPr>
                      <m:e>
                        <m:r>
                          <a:rPr lang="ar-AE" sz="1100" i="1">
                            <a:solidFill>
                              <a:schemeClr val="dk1"/>
                            </a:solidFill>
                            <a:latin typeface="Cambria Math" panose="02040503050406030204" pitchFamily="18" charset="0"/>
                            <a:ea typeface="+mn-ea"/>
                            <a:cs typeface="+mn-cs"/>
                          </a:rPr>
                          <m:t>𝑥</m:t>
                        </m:r>
                      </m:e>
                    </m:d>
                    <m:r>
                      <a:rPr lang="ar-AE" sz="1100" i="0">
                        <a:solidFill>
                          <a:schemeClr val="dk1"/>
                        </a:solidFill>
                        <a:latin typeface="Cambria Math" panose="02040503050406030204" pitchFamily="18" charset="0"/>
                        <a:ea typeface="+mn-ea"/>
                        <a:cs typeface="+mn-cs"/>
                      </a:rPr>
                      <m:t>=</m:t>
                    </m:r>
                    <m:sSub>
                      <m:sSubPr>
                        <m:ctrlPr>
                          <a:rPr lang="ar-AE" sz="1100" i="1">
                            <a:solidFill>
                              <a:schemeClr val="dk1"/>
                            </a:solidFill>
                            <a:latin typeface="Cambria Math" panose="02040503050406030204" pitchFamily="18" charset="0"/>
                            <a:ea typeface="+mn-ea"/>
                            <a:cs typeface="+mn-cs"/>
                          </a:rPr>
                        </m:ctrlPr>
                      </m:sSubPr>
                      <m:e>
                        <m:r>
                          <a:rPr lang="ar-AE" sz="1100" i="1">
                            <a:solidFill>
                              <a:schemeClr val="dk1"/>
                            </a:solidFill>
                            <a:latin typeface="Cambria Math" panose="02040503050406030204" pitchFamily="18" charset="0"/>
                            <a:ea typeface="+mn-ea"/>
                            <a:cs typeface="+mn-cs"/>
                          </a:rPr>
                          <m:t>𝐶</m:t>
                        </m:r>
                      </m:e>
                      <m:sub>
                        <m:r>
                          <a:rPr lang="ar-AE" sz="1100" i="1">
                            <a:solidFill>
                              <a:schemeClr val="dk1"/>
                            </a:solidFill>
                            <a:latin typeface="Cambria Math" panose="02040503050406030204" pitchFamily="18" charset="0"/>
                            <a:ea typeface="+mn-ea"/>
                            <a:cs typeface="+mn-cs"/>
                          </a:rPr>
                          <m:t>𝐸𝑉</m:t>
                        </m:r>
                      </m:sub>
                    </m:sSub>
                    <m:d>
                      <m:dPr>
                        <m:ctrlPr>
                          <a:rPr lang="ar-AE" sz="1100" i="1">
                            <a:solidFill>
                              <a:schemeClr val="dk1"/>
                            </a:solidFill>
                            <a:latin typeface="Cambria Math" panose="02040503050406030204" pitchFamily="18" charset="0"/>
                            <a:ea typeface="+mn-ea"/>
                            <a:cs typeface="+mn-cs"/>
                          </a:rPr>
                        </m:ctrlPr>
                      </m:dPr>
                      <m:e>
                        <m:r>
                          <a:rPr lang="ar-AE" sz="1100" i="1">
                            <a:solidFill>
                              <a:schemeClr val="dk1"/>
                            </a:solidFill>
                            <a:latin typeface="Cambria Math" panose="02040503050406030204" pitchFamily="18" charset="0"/>
                            <a:ea typeface="+mn-ea"/>
                            <a:cs typeface="+mn-cs"/>
                          </a:rPr>
                          <m:t>𝑥</m:t>
                        </m:r>
                      </m:e>
                    </m:d>
                    <m:r>
                      <a:rPr lang="ar-AE" sz="1100" i="0">
                        <a:solidFill>
                          <a:schemeClr val="dk1"/>
                        </a:solidFill>
                        <a:latin typeface="Cambria Math" panose="02040503050406030204" pitchFamily="18" charset="0"/>
                        <a:ea typeface="+mn-ea"/>
                        <a:cs typeface="+mn-cs"/>
                      </a:rPr>
                      <m:t>⋅</m:t>
                    </m:r>
                    <m:d>
                      <m:dPr>
                        <m:begChr m:val="["/>
                        <m:endChr m:val="]"/>
                        <m:ctrlPr>
                          <a:rPr lang="ar-AE" sz="1100" i="1">
                            <a:solidFill>
                              <a:schemeClr val="dk1"/>
                            </a:solidFill>
                            <a:latin typeface="Cambria Math" panose="02040503050406030204" pitchFamily="18" charset="0"/>
                            <a:ea typeface="+mn-ea"/>
                            <a:cs typeface="+mn-cs"/>
                          </a:rPr>
                        </m:ctrlPr>
                      </m:dPr>
                      <m:e>
                        <m:r>
                          <a:rPr lang="ar-AE" sz="1100" i="0">
                            <a:solidFill>
                              <a:schemeClr val="dk1"/>
                            </a:solidFill>
                            <a:latin typeface="Cambria Math" panose="02040503050406030204" pitchFamily="18" charset="0"/>
                            <a:ea typeface="+mn-ea"/>
                            <a:cs typeface="+mn-cs"/>
                          </a:rPr>
                          <m:t>1</m:t>
                        </m:r>
                        <m:r>
                          <a:rPr lang="ar-AE" sz="1100" i="0">
                            <a:solidFill>
                              <a:schemeClr val="dk1"/>
                            </a:solidFill>
                            <a:latin typeface="Cambria Math" panose="02040503050406030204" pitchFamily="18" charset="0"/>
                            <a:ea typeface="+mn-ea"/>
                            <a:cs typeface="+mn-cs"/>
                          </a:rPr>
                          <m:t>−</m:t>
                        </m:r>
                        <m:r>
                          <a:rPr lang="ar-AE" sz="1100" i="1">
                            <a:solidFill>
                              <a:schemeClr val="dk1"/>
                            </a:solidFill>
                            <a:latin typeface="Cambria Math" panose="02040503050406030204" pitchFamily="18" charset="0"/>
                            <a:ea typeface="+mn-ea"/>
                            <a:cs typeface="+mn-cs"/>
                          </a:rPr>
                          <m:t>𝑆</m:t>
                        </m:r>
                        <m:r>
                          <a:rPr lang="ar-AE" sz="1100" i="0">
                            <a:solidFill>
                              <a:schemeClr val="dk1"/>
                            </a:solidFill>
                            <a:latin typeface="Cambria Math" panose="02040503050406030204" pitchFamily="18" charset="0"/>
                            <a:ea typeface="+mn-ea"/>
                            <a:cs typeface="+mn-cs"/>
                          </a:rPr>
                          <m:t>⋅</m:t>
                        </m:r>
                        <m:d>
                          <m:dPr>
                            <m:ctrlPr>
                              <a:rPr lang="ar-AE" sz="1100" i="1">
                                <a:solidFill>
                                  <a:schemeClr val="dk1"/>
                                </a:solidFill>
                                <a:latin typeface="Cambria Math" panose="02040503050406030204" pitchFamily="18" charset="0"/>
                                <a:ea typeface="+mn-ea"/>
                                <a:cs typeface="+mn-cs"/>
                              </a:rPr>
                            </m:ctrlPr>
                          </m:dPr>
                          <m:e>
                            <m:r>
                              <a:rPr lang="ar-AE" sz="1100" i="0">
                                <a:solidFill>
                                  <a:schemeClr val="dk1"/>
                                </a:solidFill>
                                <a:latin typeface="Cambria Math" panose="02040503050406030204" pitchFamily="18" charset="0"/>
                                <a:ea typeface="+mn-ea"/>
                                <a:cs typeface="+mn-cs"/>
                              </a:rPr>
                              <m:t>1</m:t>
                            </m:r>
                            <m:r>
                              <a:rPr lang="ar-AE" sz="1100" i="0">
                                <a:solidFill>
                                  <a:schemeClr val="dk1"/>
                                </a:solidFill>
                                <a:latin typeface="Cambria Math" panose="02040503050406030204" pitchFamily="18" charset="0"/>
                                <a:ea typeface="+mn-ea"/>
                                <a:cs typeface="+mn-cs"/>
                              </a:rPr>
                              <m:t>−</m:t>
                            </m:r>
                            <m:sSup>
                              <m:sSupPr>
                                <m:ctrlPr>
                                  <a:rPr lang="ar-AE" sz="1100" i="1">
                                    <a:solidFill>
                                      <a:schemeClr val="dk1"/>
                                    </a:solidFill>
                                    <a:latin typeface="Cambria Math" panose="02040503050406030204" pitchFamily="18" charset="0"/>
                                    <a:ea typeface="+mn-ea"/>
                                    <a:cs typeface="+mn-cs"/>
                                  </a:rPr>
                                </m:ctrlPr>
                              </m:sSupPr>
                              <m:e>
                                <m:r>
                                  <a:rPr lang="ar-AE" sz="1100" i="1">
                                    <a:solidFill>
                                      <a:schemeClr val="dk1"/>
                                    </a:solidFill>
                                    <a:latin typeface="Cambria Math" panose="02040503050406030204" pitchFamily="18" charset="0"/>
                                    <a:ea typeface="+mn-ea"/>
                                    <a:cs typeface="+mn-cs"/>
                                  </a:rPr>
                                  <m:t>𝑒</m:t>
                                </m:r>
                              </m:e>
                              <m:sup>
                                <m:r>
                                  <a:rPr lang="ar-AE" sz="1100" i="0">
                                    <a:solidFill>
                                      <a:schemeClr val="dk1"/>
                                    </a:solidFill>
                                    <a:latin typeface="Cambria Math" panose="02040503050406030204" pitchFamily="18" charset="0"/>
                                    <a:ea typeface="+mn-ea"/>
                                    <a:cs typeface="+mn-cs"/>
                                  </a:rPr>
                                  <m:t>−</m:t>
                                </m:r>
                                <m:r>
                                  <a:rPr lang="ar-AE" sz="1100" i="1">
                                    <a:solidFill>
                                      <a:schemeClr val="dk1"/>
                                    </a:solidFill>
                                    <a:latin typeface="Cambria Math" panose="02040503050406030204" pitchFamily="18" charset="0"/>
                                    <a:ea typeface="+mn-ea"/>
                                    <a:cs typeface="+mn-cs"/>
                                  </a:rPr>
                                  <m:t>𝑥</m:t>
                                </m:r>
                                <m:r>
                                  <a:rPr lang="ar-AE" sz="1100" i="0">
                                    <a:solidFill>
                                      <a:schemeClr val="dk1"/>
                                    </a:solidFill>
                                    <a:latin typeface="Cambria Math" panose="02040503050406030204" pitchFamily="18" charset="0"/>
                                    <a:ea typeface="+mn-ea"/>
                                    <a:cs typeface="+mn-cs"/>
                                  </a:rPr>
                                  <m:t>/</m:t>
                                </m:r>
                                <m:r>
                                  <a:rPr lang="ar-AE" sz="1100" i="1">
                                    <a:solidFill>
                                      <a:schemeClr val="dk1"/>
                                    </a:solidFill>
                                    <a:latin typeface="Cambria Math" panose="02040503050406030204" pitchFamily="18" charset="0"/>
                                    <a:ea typeface="+mn-ea"/>
                                    <a:cs typeface="+mn-cs"/>
                                  </a:rPr>
                                  <m:t>𝐿</m:t>
                                </m:r>
                              </m:sup>
                            </m:sSup>
                          </m:e>
                        </m:d>
                      </m:e>
                    </m:d>
                  </m:oMath>
                </m:oMathPara>
              </a14:m>
              <a:endParaRPr lang="ar-AE"/>
            </a:p>
            <a:p>
              <a:endParaRPr lang="en-US"/>
            </a:p>
            <a:p>
              <a:r>
                <a:rPr lang="en-US"/>
                <a:t>The barrier multiplier is applied to </a:t>
              </a:r>
              <a14:m>
                <m:oMath xmlns:m="http://schemas.openxmlformats.org/officeDocument/2006/math">
                  <m:sSub>
                    <m:sSubPr>
                      <m:ctrlPr>
                        <a:rPr lang="ar-AE" sz="1100" i="1">
                          <a:solidFill>
                            <a:schemeClr val="dk1"/>
                          </a:solidFill>
                          <a:latin typeface="Cambria Math" panose="02040503050406030204" pitchFamily="18" charset="0"/>
                          <a:ea typeface="+mn-ea"/>
                          <a:cs typeface="+mn-cs"/>
                        </a:rPr>
                      </m:ctrlPr>
                    </m:sSubPr>
                    <m:e>
                      <m:r>
                        <a:rPr lang="ar-AE" sz="1100" i="1">
                          <a:solidFill>
                            <a:schemeClr val="dk1"/>
                          </a:solidFill>
                          <a:latin typeface="Cambria Math" panose="02040503050406030204" pitchFamily="18" charset="0"/>
                          <a:ea typeface="+mn-ea"/>
                          <a:cs typeface="+mn-cs"/>
                        </a:rPr>
                        <m:t>𝐶</m:t>
                      </m:r>
                    </m:e>
                    <m:sub>
                      <m:r>
                        <a:rPr lang="ar-AE" sz="1100" i="1">
                          <a:solidFill>
                            <a:schemeClr val="dk1"/>
                          </a:solidFill>
                          <a:latin typeface="Cambria Math" panose="02040503050406030204" pitchFamily="18" charset="0"/>
                          <a:ea typeface="+mn-ea"/>
                          <a:cs typeface="+mn-cs"/>
                        </a:rPr>
                        <m:t>𝐸𝑉</m:t>
                      </m:r>
                    </m:sub>
                  </m:sSub>
                </m:oMath>
              </a14:m>
              <a:r>
                <a:rPr lang="en-US"/>
                <a:t>rather than </a:t>
              </a:r>
              <a14:m>
                <m:oMath xmlns:m="http://schemas.openxmlformats.org/officeDocument/2006/math">
                  <m:sSub>
                    <m:sSubPr>
                      <m:ctrlPr>
                        <a:rPr lang="ar-AE" sz="1100" i="1">
                          <a:solidFill>
                            <a:schemeClr val="dk1"/>
                          </a:solidFill>
                          <a:latin typeface="Cambria Math" panose="02040503050406030204" pitchFamily="18" charset="0"/>
                          <a:ea typeface="+mn-ea"/>
                          <a:cs typeface="+mn-cs"/>
                        </a:rPr>
                      </m:ctrlPr>
                    </m:sSubPr>
                    <m:e>
                      <m:r>
                        <a:rPr lang="ar-AE" sz="1100" i="1">
                          <a:solidFill>
                            <a:schemeClr val="dk1"/>
                          </a:solidFill>
                          <a:latin typeface="Cambria Math" panose="02040503050406030204" pitchFamily="18" charset="0"/>
                          <a:ea typeface="+mn-ea"/>
                          <a:cs typeface="+mn-cs"/>
                        </a:rPr>
                        <m:t>𝐶</m:t>
                      </m:r>
                    </m:e>
                    <m:sub>
                      <m:r>
                        <a:rPr lang="ar-AE" sz="1100" i="1">
                          <a:solidFill>
                            <a:schemeClr val="dk1"/>
                          </a:solidFill>
                          <a:latin typeface="Cambria Math" panose="02040503050406030204" pitchFamily="18" charset="0"/>
                          <a:ea typeface="+mn-ea"/>
                          <a:cs typeface="+mn-cs"/>
                        </a:rPr>
                        <m:t>𝑏𝑎𝑠𝑒</m:t>
                      </m:r>
                    </m:sub>
                  </m:sSub>
                </m:oMath>
              </a14:m>
              <a:r>
                <a:rPr lang="ar-AE"/>
                <a:t>— </a:t>
              </a:r>
              <a:r>
                <a:rPr lang="en-US"/>
                <a:t>so the two interventions compound. This is why the combined result is slightly better than simply adding the two individual reductions.</a:t>
              </a:r>
            </a:p>
            <a:p>
              <a:endParaRPr lang="en-US" sz="1100"/>
            </a:p>
          </xdr:txBody>
        </xdr:sp>
      </mc:Choice>
      <mc:Fallback xmlns="">
        <xdr:sp macro="" textlink="">
          <xdr:nvSpPr>
            <xdr:cNvPr id="3" name="TextBox 2">
              <a:extLst>
                <a:ext uri="{FF2B5EF4-FFF2-40B4-BE49-F238E27FC236}">
                  <a16:creationId xmlns:a16="http://schemas.microsoft.com/office/drawing/2014/main" id="{4A2ED70A-76C7-4348-AC1F-3E6AA7AE4A4C}"/>
                </a:ext>
              </a:extLst>
            </xdr:cNvPr>
            <xdr:cNvSpPr txBox="1"/>
          </xdr:nvSpPr>
          <xdr:spPr>
            <a:xfrm>
              <a:off x="9156700" y="292100"/>
              <a:ext cx="5798651" cy="476438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b="1"/>
                <a:t>Baseline concentration</a:t>
              </a:r>
              <a:endParaRPr lang="en-US"/>
            </a:p>
            <a:p>
              <a:pPr/>
              <a:r>
                <a:rPr lang="ar-AE" sz="1100" i="0">
                  <a:solidFill>
                    <a:schemeClr val="dk1"/>
                  </a:solidFill>
                  <a:latin typeface="Cambria Math" panose="02040503050406030204" pitchFamily="18" charset="0"/>
                  <a:ea typeface="+mn-ea"/>
                  <a:cs typeface="+mn-cs"/>
                </a:rPr>
                <a:t>𝐶_𝑏𝑎𝑠𝑒 (𝑥)=𝑄_𝑏𝑎𝑠𝑒/(√2𝜋⋅𝜎_𝑧 (𝑥)⋅𝑢)⋅</a:t>
              </a:r>
              <a:r>
                <a:rPr lang="en-US" sz="1100" i="0">
                  <a:solidFill>
                    <a:schemeClr val="dk1"/>
                  </a:solidFill>
                  <a:latin typeface="Cambria Math" panose="02040503050406030204" pitchFamily="18" charset="0"/>
                  <a:ea typeface="+mn-ea"/>
                  <a:cs typeface="+mn-cs"/>
                </a:rPr>
                <a:t>exp</a:t>
              </a:r>
              <a:r>
                <a:rPr lang="ar-AE" sz="1100" i="0">
                  <a:solidFill>
                    <a:schemeClr val="dk1"/>
                  </a:solidFill>
                  <a:latin typeface="Cambria Math" panose="02040503050406030204" pitchFamily="18" charset="0"/>
                  <a:ea typeface="+mn-ea"/>
                  <a:cs typeface="+mn-cs"/>
                </a:rPr>
                <a:t>⁡(−𝐻^2/(2𝜎_𝑧^2 (𝑥) ))</a:t>
              </a:r>
              <a:endParaRPr lang="ar-AE"/>
            </a:p>
            <a:p>
              <a:endParaRPr lang="en-US"/>
            </a:p>
            <a:p>
              <a:r>
                <a:rPr lang="en-US"/>
                <a:t>where </a:t>
              </a:r>
              <a:r>
                <a:rPr lang="ar-AE" sz="1100" i="0">
                  <a:solidFill>
                    <a:schemeClr val="dk1"/>
                  </a:solidFill>
                  <a:latin typeface="Cambria Math" panose="02040503050406030204" pitchFamily="18" charset="0"/>
                  <a:ea typeface="+mn-ea"/>
                  <a:cs typeface="+mn-cs"/>
                </a:rPr>
                <a:t>𝑄_𝑏𝑎𝑠𝑒=𝑉/3600⋅𝐸𝐹_𝐼𝐶𝐸</a:t>
              </a:r>
              <a:r>
                <a:rPr lang="en-US"/>
                <a:t>  and </a:t>
              </a:r>
              <a:r>
                <a:rPr lang="ar-AE" sz="1100" i="0">
                  <a:solidFill>
                    <a:schemeClr val="dk1"/>
                  </a:solidFill>
                  <a:latin typeface="Cambria Math" panose="02040503050406030204" pitchFamily="18" charset="0"/>
                  <a:ea typeface="+mn-ea"/>
                  <a:cs typeface="+mn-cs"/>
                </a:rPr>
                <a:t>𝜎_𝑧 (𝑥)=𝑎⋅𝑥⋅(1+𝑏⋅𝑥├ )┤^(−0.5) ┤</a:t>
              </a:r>
              <a:endParaRPr lang="en-US"/>
            </a:p>
            <a:p>
              <a:endParaRPr lang="en-US"/>
            </a:p>
            <a:p>
              <a:r>
                <a:rPr lang="en-US" b="1"/>
                <a:t>EV only concentration</a:t>
              </a:r>
              <a:endParaRPr lang="en-US"/>
            </a:p>
            <a:p>
              <a:pPr/>
              <a:r>
                <a:rPr lang="ar-AE" sz="1100" i="0">
                  <a:solidFill>
                    <a:schemeClr val="dk1"/>
                  </a:solidFill>
                  <a:latin typeface="Cambria Math" panose="02040503050406030204" pitchFamily="18" charset="0"/>
                  <a:ea typeface="+mn-ea"/>
                  <a:cs typeface="+mn-cs"/>
                </a:rPr>
                <a:t>𝐶_𝐸𝑉 (𝑥)=𝑄_𝐸𝑉/(√2𝜋⋅𝜎_𝑧 (𝑥)⋅𝑢)⋅</a:t>
              </a:r>
              <a:r>
                <a:rPr lang="en-US" sz="1100" i="0">
                  <a:solidFill>
                    <a:schemeClr val="dk1"/>
                  </a:solidFill>
                  <a:latin typeface="Cambria Math" panose="02040503050406030204" pitchFamily="18" charset="0"/>
                  <a:ea typeface="+mn-ea"/>
                  <a:cs typeface="+mn-cs"/>
                </a:rPr>
                <a:t>exp</a:t>
              </a:r>
              <a:r>
                <a:rPr lang="ar-AE" sz="1100" i="0">
                  <a:solidFill>
                    <a:schemeClr val="dk1"/>
                  </a:solidFill>
                  <a:latin typeface="Cambria Math" panose="02040503050406030204" pitchFamily="18" charset="0"/>
                  <a:ea typeface="+mn-ea"/>
                  <a:cs typeface="+mn-cs"/>
                </a:rPr>
                <a:t>⁡(−𝐻^2/(2𝜎_𝑧^2 (𝑥) ))</a:t>
              </a:r>
              <a:endParaRPr lang="ar-AE"/>
            </a:p>
            <a:p>
              <a:endParaRPr lang="en-US"/>
            </a:p>
            <a:p>
              <a:r>
                <a:rPr lang="en-US"/>
                <a:t>where </a:t>
              </a:r>
              <a:r>
                <a:rPr lang="ar-AE" sz="1100" i="0">
                  <a:solidFill>
                    <a:schemeClr val="dk1"/>
                  </a:solidFill>
                  <a:latin typeface="Cambria Math" panose="02040503050406030204" pitchFamily="18" charset="0"/>
                  <a:ea typeface="+mn-ea"/>
                  <a:cs typeface="+mn-cs"/>
                </a:rPr>
                <a:t>𝑄_𝐸𝑉=𝑉/3600⋅[(1−𝑓_𝐸𝑉 )⋅𝐸𝐹_𝐼𝐶𝐸+𝑓_𝐸𝑉⋅𝐸𝐹_𝐸𝑉 ]</a:t>
              </a:r>
              <a:endParaRPr lang="ar-AE"/>
            </a:p>
            <a:p>
              <a:r>
                <a:rPr lang="en-US"/>
                <a:t>The only difference from baseline is Q — the dispersion geometry is unchanged.</a:t>
              </a:r>
            </a:p>
            <a:p>
              <a:endParaRPr lang="en-US"/>
            </a:p>
            <a:p>
              <a:r>
                <a:rPr lang="en-US" b="1"/>
                <a:t>Barrier only concentration</a:t>
              </a:r>
              <a:endParaRPr lang="en-US"/>
            </a:p>
            <a:p>
              <a:pPr/>
              <a:r>
                <a:rPr lang="ar-AE" sz="1100" i="0">
                  <a:solidFill>
                    <a:schemeClr val="dk1"/>
                  </a:solidFill>
                  <a:latin typeface="Cambria Math" panose="02040503050406030204" pitchFamily="18" charset="0"/>
                  <a:ea typeface="+mn-ea"/>
                  <a:cs typeface="+mn-cs"/>
                </a:rPr>
                <a:t>𝐶_𝑏𝑎𝑟𝑟𝑖𝑒𝑟 (𝑥)=𝐶_𝑏𝑎𝑠𝑒 (𝑥)⋅[1−𝑆⋅(1−𝑒^(−𝑥/𝐿) )]</a:t>
              </a:r>
              <a:endParaRPr lang="ar-AE"/>
            </a:p>
            <a:p>
              <a:endParaRPr lang="en-US"/>
            </a:p>
            <a:p>
              <a:r>
                <a:rPr lang="en-US"/>
                <a:t>where is the maximum shielding factor and </a:t>
              </a:r>
              <a:r>
                <a:rPr lang="en-US" sz="1100" i="0">
                  <a:solidFill>
                    <a:schemeClr val="dk1"/>
                  </a:solidFill>
                  <a:latin typeface="Cambria Math" panose="02040503050406030204" pitchFamily="18" charset="0"/>
                  <a:ea typeface="+mn-ea"/>
                  <a:cs typeface="+mn-cs"/>
                </a:rPr>
                <a:t>𝐿=150⋅</a:t>
              </a:r>
              <a:r>
                <a:rPr lang="ar-AE" sz="1100" i="0">
                  <a:solidFill>
                    <a:schemeClr val="dk1"/>
                  </a:solidFill>
                  <a:latin typeface="Cambria Math" panose="02040503050406030204" pitchFamily="18" charset="0"/>
                  <a:ea typeface="+mn-ea"/>
                  <a:cs typeface="+mn-cs"/>
                </a:rPr>
                <a:t>(ℎ_𝑏+1)</a:t>
              </a:r>
              <a:r>
                <a:rPr lang="en-US"/>
                <a:t>is the decay length constant. The bracketed term is the barrier multiplier — it approaches 1 (no effect) as </a:t>
              </a:r>
              <a:r>
                <a:rPr lang="en-US" sz="1100" i="0">
                  <a:solidFill>
                    <a:schemeClr val="dk1"/>
                  </a:solidFill>
                  <a:latin typeface="Cambria Math" panose="02040503050406030204" pitchFamily="18" charset="0"/>
                  <a:ea typeface="+mn-ea"/>
                  <a:cs typeface="+mn-cs"/>
                </a:rPr>
                <a:t>𝑥→∞</a:t>
              </a:r>
              <a:r>
                <a:rPr lang="en-US"/>
                <a:t>.</a:t>
              </a:r>
            </a:p>
            <a:p>
              <a:endParaRPr lang="ar-AE"/>
            </a:p>
            <a:p>
              <a:r>
                <a:rPr lang="en-US" b="1"/>
                <a:t>Combined concentration</a:t>
              </a:r>
              <a:endParaRPr lang="en-US"/>
            </a:p>
            <a:p>
              <a:pPr/>
              <a:r>
                <a:rPr lang="ar-AE" sz="1100" i="0">
                  <a:solidFill>
                    <a:schemeClr val="dk1"/>
                  </a:solidFill>
                  <a:latin typeface="Cambria Math" panose="02040503050406030204" pitchFamily="18" charset="0"/>
                  <a:ea typeface="+mn-ea"/>
                  <a:cs typeface="+mn-cs"/>
                </a:rPr>
                <a:t>𝐶_𝑐𝑜𝑚𝑏𝑖𝑛𝑒𝑑 (𝑥)=𝐶_𝐸𝑉 (𝑥)⋅[1−𝑆⋅(1−𝑒^(−𝑥/𝐿) )]</a:t>
              </a:r>
              <a:endParaRPr lang="ar-AE"/>
            </a:p>
            <a:p>
              <a:endParaRPr lang="en-US"/>
            </a:p>
            <a:p>
              <a:r>
                <a:rPr lang="en-US"/>
                <a:t>The barrier multiplier is applied to </a:t>
              </a:r>
              <a:r>
                <a:rPr lang="ar-AE" sz="1100" i="0">
                  <a:solidFill>
                    <a:schemeClr val="dk1"/>
                  </a:solidFill>
                  <a:latin typeface="Cambria Math" panose="02040503050406030204" pitchFamily="18" charset="0"/>
                  <a:ea typeface="+mn-ea"/>
                  <a:cs typeface="+mn-cs"/>
                </a:rPr>
                <a:t>𝐶_𝐸𝑉</a:t>
              </a:r>
              <a:r>
                <a:rPr lang="en-US"/>
                <a:t>rather than </a:t>
              </a:r>
              <a:r>
                <a:rPr lang="ar-AE" sz="1100" i="0">
                  <a:solidFill>
                    <a:schemeClr val="dk1"/>
                  </a:solidFill>
                  <a:latin typeface="Cambria Math" panose="02040503050406030204" pitchFamily="18" charset="0"/>
                  <a:ea typeface="+mn-ea"/>
                  <a:cs typeface="+mn-cs"/>
                </a:rPr>
                <a:t>𝐶_𝑏𝑎𝑠𝑒</a:t>
              </a:r>
              <a:r>
                <a:rPr lang="ar-AE"/>
                <a:t>— </a:t>
              </a:r>
              <a:r>
                <a:rPr lang="en-US"/>
                <a:t>so the two interventions compound. This is why the combined result is slightly better than simply adding the two individual reductions.</a:t>
              </a:r>
            </a:p>
            <a:p>
              <a:endParaRPr lang="en-US" sz="1100"/>
            </a:p>
          </xdr:txBody>
        </xdr:sp>
      </mc:Fallback>
    </mc:AlternateContent>
    <xdr:clientData/>
  </xdr:twoCellAnchor>
  <xdr:twoCellAnchor editAs="oneCell">
    <xdr:from>
      <xdr:col>9</xdr:col>
      <xdr:colOff>330200</xdr:colOff>
      <xdr:row>19</xdr:row>
      <xdr:rowOff>1881</xdr:rowOff>
    </xdr:from>
    <xdr:to>
      <xdr:col>18</xdr:col>
      <xdr:colOff>198967</xdr:colOff>
      <xdr:row>37</xdr:row>
      <xdr:rowOff>122296</xdr:rowOff>
    </xdr:to>
    <xdr:pic>
      <xdr:nvPicPr>
        <xdr:cNvPr id="4" name="Picture 3">
          <a:extLst>
            <a:ext uri="{FF2B5EF4-FFF2-40B4-BE49-F238E27FC236}">
              <a16:creationId xmlns:a16="http://schemas.microsoft.com/office/drawing/2014/main" id="{6DB39173-7FDB-8843-9D68-CD1A8475F9F7}"/>
            </a:ext>
          </a:extLst>
        </xdr:cNvPr>
        <xdr:cNvPicPr>
          <a:picLocks noChangeAspect="1"/>
        </xdr:cNvPicPr>
      </xdr:nvPicPr>
      <xdr:blipFill rotWithShape="1">
        <a:blip xmlns:r="http://schemas.openxmlformats.org/officeDocument/2006/relationships" r:embed="rId2"/>
        <a:srcRect b="2290"/>
        <a:stretch>
          <a:fillRect/>
        </a:stretch>
      </xdr:blipFill>
      <xdr:spPr>
        <a:xfrm>
          <a:off x="9169400" y="5081881"/>
          <a:ext cx="5812367" cy="354941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a:cs typeface="Calibri" pitchFamily="2"/>
                </a:rPr>
                <a:t>Generate AI Analysis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39"/>
  <sheetViews>
    <sheetView showGridLines="0" tabSelected="1" zoomScaleNormal="100" workbookViewId="0">
      <selection activeCell="L11" sqref="L11"/>
    </sheetView>
  </sheetViews>
  <sheetFormatPr defaultColWidth="8.7109375" defaultRowHeight="15"/>
  <cols>
    <col min="1" max="1" width="32.7109375" bestFit="1" customWidth="1"/>
    <col min="2" max="2" width="18" customWidth="1"/>
    <col min="3" max="3" width="14" customWidth="1"/>
    <col min="4" max="4" width="43" bestFit="1" customWidth="1"/>
  </cols>
  <sheetData>
    <row r="1" spans="1:4" ht="31.5" customHeight="1">
      <c r="A1" s="130" t="s">
        <v>0</v>
      </c>
      <c r="B1" s="130"/>
      <c r="C1" s="130"/>
      <c r="D1" s="130"/>
    </row>
    <row r="2" spans="1:4" ht="15.75" customHeight="1">
      <c r="A2" s="85" t="s">
        <v>1</v>
      </c>
      <c r="B2" s="86" t="s">
        <v>2</v>
      </c>
      <c r="C2" s="87" t="s">
        <v>3</v>
      </c>
      <c r="D2" s="88"/>
    </row>
    <row r="3" spans="1:4" ht="18" customHeight="1">
      <c r="A3" s="89" t="s">
        <v>4</v>
      </c>
      <c r="B3" s="90"/>
      <c r="C3" s="90"/>
      <c r="D3" s="90"/>
    </row>
    <row r="4" spans="1:4" ht="27.75" customHeight="1" thickBot="1">
      <c r="A4" s="3" t="s">
        <v>5</v>
      </c>
      <c r="B4" s="91" t="s">
        <v>6</v>
      </c>
      <c r="C4" s="3" t="s">
        <v>7</v>
      </c>
      <c r="D4" s="3" t="s">
        <v>8</v>
      </c>
    </row>
    <row r="5" spans="1:4" ht="25.5" customHeight="1">
      <c r="A5" s="92" t="s">
        <v>9</v>
      </c>
      <c r="B5" s="93">
        <v>2000</v>
      </c>
      <c r="C5" s="94" t="s">
        <v>10</v>
      </c>
      <c r="D5" s="6" t="s">
        <v>11</v>
      </c>
    </row>
    <row r="6" spans="1:4" ht="25.5" customHeight="1">
      <c r="A6" s="92" t="s">
        <v>12</v>
      </c>
      <c r="B6" s="95">
        <v>1.6000000000000001E-3</v>
      </c>
      <c r="C6" s="94" t="s">
        <v>13</v>
      </c>
      <c r="D6" s="6" t="s">
        <v>14</v>
      </c>
    </row>
    <row r="7" spans="1:4" ht="25.5" customHeight="1">
      <c r="A7" s="92" t="s">
        <v>15</v>
      </c>
      <c r="B7" s="95">
        <v>2.0000000000000001E-4</v>
      </c>
      <c r="C7" s="94" t="s">
        <v>13</v>
      </c>
      <c r="D7" s="6" t="s">
        <v>16</v>
      </c>
    </row>
    <row r="8" spans="1:4" ht="25.5" customHeight="1">
      <c r="A8" s="92" t="s">
        <v>17</v>
      </c>
      <c r="B8" s="96">
        <v>0.3</v>
      </c>
      <c r="C8" s="94" t="s">
        <v>18</v>
      </c>
      <c r="D8" s="6" t="s">
        <v>19</v>
      </c>
    </row>
    <row r="9" spans="1:4" ht="25.5" customHeight="1" thickBot="1">
      <c r="A9" s="92" t="s">
        <v>20</v>
      </c>
      <c r="B9" s="97">
        <v>0.5</v>
      </c>
      <c r="C9" s="94" t="s">
        <v>21</v>
      </c>
      <c r="D9" s="6" t="s">
        <v>22</v>
      </c>
    </row>
    <row r="10" spans="1:4" ht="25.5" customHeight="1">
      <c r="A10" s="19" t="s">
        <v>23</v>
      </c>
      <c r="B10" s="98">
        <f>(B5/3600)*B6</f>
        <v>8.8888888888888893E-4</v>
      </c>
      <c r="C10" s="5" t="s">
        <v>24</v>
      </c>
      <c r="D10" s="7" t="s">
        <v>25</v>
      </c>
    </row>
    <row r="11" spans="1:4" ht="25.5" customHeight="1">
      <c r="A11" s="8" t="s">
        <v>26</v>
      </c>
      <c r="B11" s="99">
        <f>B5/3600*((1-B8)*B6+B8*B7)</f>
        <v>6.5555555555555549E-4</v>
      </c>
      <c r="C11" s="5" t="s">
        <v>24</v>
      </c>
      <c r="D11" s="7" t="s">
        <v>27</v>
      </c>
    </row>
    <row r="13" spans="1:4" ht="18" customHeight="1">
      <c r="A13" s="9" t="s">
        <v>28</v>
      </c>
      <c r="B13" s="10"/>
      <c r="C13" s="10"/>
      <c r="D13" s="10"/>
    </row>
    <row r="14" spans="1:4" ht="27.75" customHeight="1" thickBot="1">
      <c r="A14" s="11" t="s">
        <v>5</v>
      </c>
      <c r="B14" s="100" t="s">
        <v>6</v>
      </c>
      <c r="C14" s="11" t="s">
        <v>7</v>
      </c>
      <c r="D14" s="11" t="s">
        <v>8</v>
      </c>
    </row>
    <row r="15" spans="1:4" ht="25.5" customHeight="1">
      <c r="A15" s="92" t="s">
        <v>29</v>
      </c>
      <c r="B15" s="101">
        <v>3</v>
      </c>
      <c r="C15" s="102" t="s">
        <v>30</v>
      </c>
      <c r="D15" s="7" t="s">
        <v>31</v>
      </c>
    </row>
    <row r="16" spans="1:4" ht="25.5" customHeight="1" thickBot="1">
      <c r="A16" s="92" t="s">
        <v>32</v>
      </c>
      <c r="B16" s="97">
        <v>3</v>
      </c>
      <c r="C16" s="102" t="s">
        <v>33</v>
      </c>
      <c r="D16" s="7" t="s">
        <v>34</v>
      </c>
    </row>
    <row r="17" spans="1:4" ht="25.5" customHeight="1">
      <c r="A17" s="103" t="s">
        <v>35</v>
      </c>
      <c r="B17" s="104" t="str">
        <f>CHOOSE(B16,"A: Very unstable","B: Unstable","C: Slightly unstable","D: Neutral","E: Slightly stable","F: Stable")</f>
        <v>C: Slightly unstable</v>
      </c>
      <c r="C17" s="4"/>
      <c r="D17" s="7" t="s">
        <v>36</v>
      </c>
    </row>
    <row r="19" spans="1:4" ht="18" customHeight="1">
      <c r="A19" s="105" t="s">
        <v>37</v>
      </c>
      <c r="B19" s="106"/>
      <c r="C19" s="106"/>
      <c r="D19" s="106"/>
    </row>
    <row r="20" spans="1:4" ht="27.75" customHeight="1" thickBot="1">
      <c r="A20" s="14" t="s">
        <v>5</v>
      </c>
      <c r="B20" s="107" t="s">
        <v>6</v>
      </c>
      <c r="C20" s="14" t="s">
        <v>7</v>
      </c>
      <c r="D20" s="14" t="s">
        <v>8</v>
      </c>
    </row>
    <row r="21" spans="1:4" ht="25.5" customHeight="1" thickBot="1">
      <c r="A21" s="92" t="s">
        <v>38</v>
      </c>
      <c r="B21" s="108">
        <v>3</v>
      </c>
      <c r="C21" s="102" t="s">
        <v>21</v>
      </c>
      <c r="D21" s="7" t="s">
        <v>39</v>
      </c>
    </row>
    <row r="22" spans="1:4" ht="25.5" customHeight="1">
      <c r="A22" s="15" t="s">
        <v>40</v>
      </c>
      <c r="B22" s="109">
        <f>MIN(0.7,B21*0.12)</f>
        <v>0.36</v>
      </c>
      <c r="C22" s="4"/>
      <c r="D22" s="7" t="s">
        <v>41</v>
      </c>
    </row>
    <row r="23" spans="1:4" ht="25.5" customHeight="1">
      <c r="A23" s="15" t="s">
        <v>42</v>
      </c>
      <c r="B23" s="110">
        <f>150*(B21+1)</f>
        <v>600</v>
      </c>
      <c r="C23" s="4" t="s">
        <v>21</v>
      </c>
      <c r="D23" s="7" t="s">
        <v>43</v>
      </c>
    </row>
    <row r="25" spans="1:4" ht="18" customHeight="1">
      <c r="A25" s="131" t="s">
        <v>44</v>
      </c>
      <c r="B25" s="132"/>
      <c r="C25" s="132"/>
      <c r="D25" s="133"/>
    </row>
    <row r="26" spans="1:4" ht="27.75" customHeight="1" thickBot="1">
      <c r="A26" s="18" t="s">
        <v>45</v>
      </c>
      <c r="B26" s="111" t="s">
        <v>46</v>
      </c>
      <c r="C26" s="18"/>
      <c r="D26" s="18" t="s">
        <v>47</v>
      </c>
    </row>
    <row r="27" spans="1:4" ht="25.5" customHeight="1">
      <c r="A27" s="112" t="s">
        <v>48</v>
      </c>
      <c r="B27" s="93">
        <v>4</v>
      </c>
      <c r="C27" s="128" t="s">
        <v>49</v>
      </c>
      <c r="D27" s="129"/>
    </row>
    <row r="28" spans="1:4" ht="25.5" customHeight="1">
      <c r="A28" s="112" t="s">
        <v>50</v>
      </c>
      <c r="B28" s="95">
        <v>3</v>
      </c>
      <c r="C28" s="128" t="s">
        <v>51</v>
      </c>
      <c r="D28" s="129"/>
    </row>
    <row r="29" spans="1:4" ht="25.5" customHeight="1">
      <c r="A29" s="112" t="s">
        <v>52</v>
      </c>
      <c r="B29" s="95">
        <v>4</v>
      </c>
      <c r="C29" s="128" t="s">
        <v>53</v>
      </c>
      <c r="D29" s="129"/>
    </row>
    <row r="30" spans="1:4" ht="25.5" customHeight="1" thickBot="1">
      <c r="A30" s="112" t="s">
        <v>54</v>
      </c>
      <c r="B30" s="97">
        <v>3</v>
      </c>
      <c r="C30" s="128" t="s">
        <v>55</v>
      </c>
      <c r="D30" s="129"/>
    </row>
    <row r="32" spans="1:4" ht="18" customHeight="1">
      <c r="A32" s="125" t="s">
        <v>56</v>
      </c>
      <c r="B32" s="126"/>
      <c r="C32" s="126"/>
      <c r="D32" s="127"/>
    </row>
    <row r="33" spans="1:4" ht="27.75" customHeight="1">
      <c r="A33" s="22" t="s">
        <v>57</v>
      </c>
      <c r="B33" s="22" t="s">
        <v>58</v>
      </c>
      <c r="C33" s="22" t="s">
        <v>59</v>
      </c>
      <c r="D33" s="22" t="s">
        <v>60</v>
      </c>
    </row>
    <row r="34" spans="1:4" ht="19.5" customHeight="1">
      <c r="A34" s="113" t="s">
        <v>61</v>
      </c>
      <c r="B34" s="114">
        <v>0.22</v>
      </c>
      <c r="C34" s="115">
        <v>2.0000000000000001E-4</v>
      </c>
      <c r="D34" s="116" t="s">
        <v>62</v>
      </c>
    </row>
    <row r="35" spans="1:4" ht="19.5" customHeight="1">
      <c r="A35" s="25" t="s">
        <v>63</v>
      </c>
      <c r="B35" s="26">
        <v>0.16</v>
      </c>
      <c r="C35" s="27">
        <v>1E-4</v>
      </c>
      <c r="D35" s="28" t="s">
        <v>64</v>
      </c>
    </row>
    <row r="36" spans="1:4" ht="19.5" customHeight="1">
      <c r="A36" s="113" t="s">
        <v>65</v>
      </c>
      <c r="B36" s="114">
        <v>0.11</v>
      </c>
      <c r="C36" s="115">
        <v>2.0000000000000001E-4</v>
      </c>
      <c r="D36" s="116" t="s">
        <v>66</v>
      </c>
    </row>
    <row r="37" spans="1:4" ht="19.5" customHeight="1">
      <c r="A37" s="25" t="s">
        <v>67</v>
      </c>
      <c r="B37" s="26">
        <v>0.08</v>
      </c>
      <c r="C37" s="27">
        <v>2.0000000000000001E-4</v>
      </c>
      <c r="D37" s="28" t="s">
        <v>68</v>
      </c>
    </row>
    <row r="38" spans="1:4" ht="19.5" customHeight="1">
      <c r="A38" s="113" t="s">
        <v>69</v>
      </c>
      <c r="B38" s="114">
        <v>0.06</v>
      </c>
      <c r="C38" s="115">
        <v>2.0000000000000001E-4</v>
      </c>
      <c r="D38" s="116" t="s">
        <v>70</v>
      </c>
    </row>
    <row r="39" spans="1:4" ht="19.5" customHeight="1">
      <c r="A39" s="25" t="s">
        <v>71</v>
      </c>
      <c r="B39" s="26">
        <v>0.04</v>
      </c>
      <c r="C39" s="27">
        <v>2.0000000000000001E-4</v>
      </c>
      <c r="D39" s="28" t="s">
        <v>72</v>
      </c>
    </row>
  </sheetData>
  <mergeCells count="7">
    <mergeCell ref="A32:D32"/>
    <mergeCell ref="C30:D30"/>
    <mergeCell ref="A1:D1"/>
    <mergeCell ref="C27:D27"/>
    <mergeCell ref="C28:D28"/>
    <mergeCell ref="C29:D29"/>
    <mergeCell ref="A25:D25"/>
  </mergeCells>
  <pageMargins left="0.75" right="0.75" top="1" bottom="1" header="0.511811023622047" footer="0.511811023622047"/>
  <pageSetup paperSize="9" orientation="portrait" horizontalDpi="300" verticalDpi="30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16"/>
  <sheetViews>
    <sheetView showGridLines="0" topLeftCell="A15" zoomScaleNormal="100" workbookViewId="0">
      <selection activeCell="H4" sqref="H4:H15"/>
    </sheetView>
  </sheetViews>
  <sheetFormatPr defaultColWidth="8.7109375" defaultRowHeight="15"/>
  <cols>
    <col min="1" max="1" width="16" customWidth="1"/>
    <col min="2" max="8" width="14" customWidth="1"/>
    <col min="9" max="9" width="2" customWidth="1"/>
  </cols>
  <sheetData>
    <row r="1" spans="1:8" ht="30" customHeight="1">
      <c r="A1" s="134" t="s">
        <v>73</v>
      </c>
      <c r="B1" s="134"/>
      <c r="C1" s="134"/>
      <c r="D1" s="134"/>
      <c r="E1" s="134"/>
      <c r="F1" s="134"/>
      <c r="G1" s="134"/>
      <c r="H1" s="134"/>
    </row>
    <row r="2" spans="1:8" ht="15" customHeight="1">
      <c r="A2" s="135" t="s">
        <v>74</v>
      </c>
      <c r="B2" s="135"/>
      <c r="C2" s="135"/>
      <c r="D2" s="135"/>
      <c r="E2" s="135"/>
      <c r="F2" s="135"/>
      <c r="G2" s="135"/>
      <c r="H2" s="135"/>
    </row>
    <row r="3" spans="1:8" ht="39.75" customHeight="1">
      <c r="A3" s="29" t="s">
        <v>75</v>
      </c>
      <c r="B3" s="29" t="s">
        <v>76</v>
      </c>
      <c r="C3" s="29" t="s">
        <v>77</v>
      </c>
      <c r="D3" s="29" t="s">
        <v>78</v>
      </c>
      <c r="E3" s="29" t="s">
        <v>79</v>
      </c>
      <c r="F3" s="29" t="s">
        <v>80</v>
      </c>
      <c r="G3" s="29" t="s">
        <v>81</v>
      </c>
      <c r="H3" s="29" t="s">
        <v>82</v>
      </c>
    </row>
    <row r="4" spans="1:8" ht="21.75" customHeight="1">
      <c r="A4" s="30">
        <v>5</v>
      </c>
      <c r="B4" s="24">
        <f>CHOOSE('Inputs &amp; Assumptions'!B16,0.22*A4*(1+0.0002*A4)^-0.5,0.16*A4*(1+0.0001*A4)^-0.5,0.11*A4*(1+0.0002*A4)^-0.5,0.08*A4*(1+0.0002*A4)^-0.5,0.06*A4*(1+0.0002*A4)^-0.5,0.04*A4*(1+0.0002*A4)^-0.5)</f>
        <v>0.54972520607827535</v>
      </c>
      <c r="C4" s="31">
        <f>'Inputs &amp; Assumptions'!B10/(SQRT(2*PI())*B4*'Inputs &amp; Assumptions'!B15)*EXP(-0.5*('Inputs &amp; Assumptions'!B9/B4)^2)*1000000</f>
        <v>142.1839737359274</v>
      </c>
      <c r="D4" s="32">
        <f>'Inputs &amp; Assumptions'!B11/(SQRT(2*PI())*B4*'Inputs &amp; Assumptions'!B15)*EXP(-0.5*('Inputs &amp; Assumptions'!B9/B4)^2)*1000000</f>
        <v>104.86068063024643</v>
      </c>
      <c r="E4" s="33">
        <f>C4*(1-MIN(0.7,'Inputs &amp; Assumptions'!B21*0.12)*(1-EXP(-A4/'Inputs &amp; Assumptions'!B23)))</f>
        <v>141.75919418771596</v>
      </c>
      <c r="F4" s="34">
        <f>D4*(1-MIN(0.7,'Inputs &amp; Assumptions'!B21*0.12)*(1-EXP(-A4/'Inputs &amp; Assumptions'!B23)))</f>
        <v>104.5474057134405</v>
      </c>
      <c r="G4" s="35">
        <f t="shared" ref="G4:G15" si="0">IFERROR((C4-D4)/C4,0)</f>
        <v>0.26250000000000012</v>
      </c>
      <c r="H4" s="36">
        <f t="shared" ref="H4:H15" si="1">IFERROR((C4-F4)/C4,0)</f>
        <v>0.26470330680437859</v>
      </c>
    </row>
    <row r="5" spans="1:8" ht="21.75" customHeight="1">
      <c r="A5" s="37">
        <v>10</v>
      </c>
      <c r="B5" s="38">
        <f>CHOOSE('Inputs &amp; Assumptions'!B16,0.22*A5*(1+0.0002*A5)^-0.5,0.16*A5*(1+0.0001*A5)^-0.5,0.11*A5*(1+0.0002*A5)^-0.5,0.08*A5*(1+0.0002*A5)^-0.5,0.06*A5*(1+0.0002*A5)^-0.5,0.04*A5*(1+0.0002*A5)^-0.5)</f>
        <v>1.0989016472548039</v>
      </c>
      <c r="C5" s="39">
        <f>'Inputs &amp; Assumptions'!B10/(SQRT(2*PI())*B5*'Inputs &amp; Assumptions'!B15)*EXP(-0.5*('Inputs &amp; Assumptions'!B9/B5)^2)*1000000</f>
        <v>96.989026795614549</v>
      </c>
      <c r="D5" s="40">
        <f>'Inputs &amp; Assumptions'!B11/(SQRT(2*PI())*B5*'Inputs &amp; Assumptions'!B15)*EXP(-0.5*('Inputs &amp; Assumptions'!B9/B5)^2)*1000000</f>
        <v>71.529407261765726</v>
      </c>
      <c r="E5" s="41">
        <f>C5*(1-MIN(0.7,'Inputs &amp; Assumptions'!B21*0.12)*(1-EXP(-A5/'Inputs &amp; Assumptions'!B23)))</f>
        <v>96.411915256666987</v>
      </c>
      <c r="F5" s="42">
        <f>D5*(1-MIN(0.7,'Inputs &amp; Assumptions'!B21*0.12)*(1-EXP(-A5/'Inputs &amp; Assumptions'!B23)))</f>
        <v>71.103787501791899</v>
      </c>
      <c r="G5" s="43">
        <f t="shared" si="0"/>
        <v>0.26250000000000001</v>
      </c>
      <c r="H5" s="44">
        <f t="shared" si="1"/>
        <v>0.26688832901036053</v>
      </c>
    </row>
    <row r="6" spans="1:8" ht="21.75" customHeight="1">
      <c r="A6" s="30">
        <v>20</v>
      </c>
      <c r="B6" s="24">
        <f>CHOOSE('Inputs &amp; Assumptions'!B16,0.22*A6*(1+0.0002*A6)^-0.5,0.16*A6*(1+0.0001*A6)^-0.5,0.11*A6*(1+0.0002*A6)^-0.5,0.08*A6*(1+0.0002*A6)^-0.5,0.06*A6*(1+0.0002*A6)^-0.5,0.04*A6*(1+0.0002*A6)^-0.5)</f>
        <v>2.1956131561534482</v>
      </c>
      <c r="C6" s="31">
        <f>'Inputs &amp; Assumptions'!B10/(SQRT(2*PI())*B6*'Inputs &amp; Assumptions'!B15)*EXP(-0.5*('Inputs &amp; Assumptions'!B9/B6)^2)*1000000</f>
        <v>52.458916461359301</v>
      </c>
      <c r="D6" s="32">
        <f>'Inputs &amp; Assumptions'!B11/(SQRT(2*PI())*B6*'Inputs &amp; Assumptions'!B15)*EXP(-0.5*('Inputs &amp; Assumptions'!B9/B6)^2)*1000000</f>
        <v>38.688450890252483</v>
      </c>
      <c r="E6" s="33">
        <f>C6*(1-MIN(0.7,'Inputs &amp; Assumptions'!B21*0.12)*(1-EXP(-A6/'Inputs &amp; Assumptions'!B23)))</f>
        <v>51.839785636766159</v>
      </c>
      <c r="F6" s="34">
        <f>D6*(1-MIN(0.7,'Inputs &amp; Assumptions'!B21*0.12)*(1-EXP(-A6/'Inputs &amp; Assumptions'!B23)))</f>
        <v>38.23184190711504</v>
      </c>
      <c r="G6" s="35">
        <f t="shared" si="0"/>
        <v>0.26250000000000001</v>
      </c>
      <c r="H6" s="36">
        <f t="shared" si="1"/>
        <v>0.27120412532202753</v>
      </c>
    </row>
    <row r="7" spans="1:8" ht="21.75" customHeight="1">
      <c r="A7" s="37">
        <v>30</v>
      </c>
      <c r="B7" s="38">
        <f>CHOOSE('Inputs &amp; Assumptions'!B16,0.22*A7*(1+0.0002*A7)^-0.5,0.16*A7*(1+0.0001*A7)^-0.5,0.11*A7*(1+0.0002*A7)^-0.5,0.08*A7*(1+0.0002*A7)^-0.5,0.06*A7*(1+0.0002*A7)^-0.5,0.04*A7*(1+0.0002*A7)^-0.5)</f>
        <v>3.2901443284131568</v>
      </c>
      <c r="C7" s="39">
        <f>'Inputs &amp; Assumptions'!B10/(SQRT(2*PI())*B7*'Inputs &amp; Assumptions'!B15)*EXP(-0.5*('Inputs &amp; Assumptions'!B9/B7)^2)*1000000</f>
        <v>35.514558028405361</v>
      </c>
      <c r="D7" s="40">
        <f>'Inputs &amp; Assumptions'!B11/(SQRT(2*PI())*B7*'Inputs &amp; Assumptions'!B15)*EXP(-0.5*('Inputs &amp; Assumptions'!B9/B7)^2)*1000000</f>
        <v>26.191986545948954</v>
      </c>
      <c r="E7" s="41">
        <f>C7*(1-MIN(0.7,'Inputs &amp; Assumptions'!B21*0.12)*(1-EXP(-A7/'Inputs &amp; Assumptions'!B23)))</f>
        <v>34.891014472292035</v>
      </c>
      <c r="F7" s="42">
        <f>D7*(1-MIN(0.7,'Inputs &amp; Assumptions'!B21*0.12)*(1-EXP(-A7/'Inputs &amp; Assumptions'!B23)))</f>
        <v>25.732123173315379</v>
      </c>
      <c r="G7" s="43">
        <f t="shared" si="0"/>
        <v>0.26250000000000001</v>
      </c>
      <c r="H7" s="44">
        <f t="shared" si="1"/>
        <v>0.27544858779506043</v>
      </c>
    </row>
    <row r="8" spans="1:8" ht="21.75" customHeight="1">
      <c r="A8" s="30">
        <v>50</v>
      </c>
      <c r="B8" s="24">
        <f>CHOOSE('Inputs &amp; Assumptions'!B16,0.22*A8*(1+0.0002*A8)^-0.5,0.16*A8*(1+0.0001*A8)^-0.5,0.11*A8*(1+0.0002*A8)^-0.5,0.08*A8*(1+0.0002*A8)^-0.5,0.06*A8*(1+0.0002*A8)^-0.5,0.04*A8*(1+0.0002*A8)^-0.5)</f>
        <v>5.4727045461549411</v>
      </c>
      <c r="C8" s="31">
        <f>'Inputs &amp; Assumptions'!B10/(SQRT(2*PI())*B8*'Inputs &amp; Assumptions'!B15)*EXP(-0.5*('Inputs &amp; Assumptions'!B9/B8)^2)*1000000</f>
        <v>21.509075039177706</v>
      </c>
      <c r="D8" s="32">
        <f>'Inputs &amp; Assumptions'!B11/(SQRT(2*PI())*B8*'Inputs &amp; Assumptions'!B15)*EXP(-0.5*('Inputs &amp; Assumptions'!B9/B8)^2)*1000000</f>
        <v>15.862942841393552</v>
      </c>
      <c r="E8" s="33">
        <f>C8*(1-MIN(0.7,'Inputs &amp; Assumptions'!B21*0.12)*(1-EXP(-A8/'Inputs &amp; Assumptions'!B23)))</f>
        <v>20.889957592383571</v>
      </c>
      <c r="F8" s="34">
        <f>D8*(1-MIN(0.7,'Inputs &amp; Assumptions'!B21*0.12)*(1-EXP(-A8/'Inputs &amp; Assumptions'!B23)))</f>
        <v>15.406343724382879</v>
      </c>
      <c r="G8" s="35">
        <f t="shared" si="0"/>
        <v>0.26250000000000023</v>
      </c>
      <c r="H8" s="36">
        <f t="shared" si="1"/>
        <v>0.28372820791591485</v>
      </c>
    </row>
    <row r="9" spans="1:8" ht="21.75" customHeight="1">
      <c r="A9" s="37">
        <v>75</v>
      </c>
      <c r="B9" s="38">
        <f>CHOOSE('Inputs &amp; Assumptions'!B16,0.22*A9*(1+0.0002*A9)^-0.5,0.16*A9*(1+0.0001*A9)^-0.5,0.11*A9*(1+0.0002*A9)^-0.5,0.08*A9*(1+0.0002*A9)^-0.5,0.06*A9*(1+0.0002*A9)^-0.5,0.04*A9*(1+0.0002*A9)^-0.5)</f>
        <v>8.1888125052601737</v>
      </c>
      <c r="C9" s="39">
        <f>'Inputs &amp; Assumptions'!B10/(SQRT(2*PI())*B9*'Inputs &amp; Assumptions'!B15)*EXP(-0.5*('Inputs &amp; Assumptions'!B9/B9)^2)*1000000</f>
        <v>14.408069504059135</v>
      </c>
      <c r="D9" s="40">
        <f>'Inputs &amp; Assumptions'!B11/(SQRT(2*PI())*B9*'Inputs &amp; Assumptions'!B15)*EXP(-0.5*('Inputs &amp; Assumptions'!B9/B9)^2)*1000000</f>
        <v>10.625951259243609</v>
      </c>
      <c r="E9" s="41">
        <f>C9*(1-MIN(0.7,'Inputs &amp; Assumptions'!B21*0.12)*(1-EXP(-A9/'Inputs &amp; Assumptions'!B23)))</f>
        <v>13.798592098037918</v>
      </c>
      <c r="F9" s="42">
        <f>D9*(1-MIN(0.7,'Inputs &amp; Assumptions'!B21*0.12)*(1-EXP(-A9/'Inputs &amp; Assumptions'!B23)))</f>
        <v>10.176461672302962</v>
      </c>
      <c r="G9" s="43">
        <f t="shared" si="0"/>
        <v>0.26250000000000023</v>
      </c>
      <c r="H9" s="44">
        <f t="shared" si="1"/>
        <v>0.29369707236379011</v>
      </c>
    </row>
    <row r="10" spans="1:8" ht="21.75" customHeight="1">
      <c r="A10" s="30">
        <v>100</v>
      </c>
      <c r="B10" s="24">
        <f>CHOOSE('Inputs &amp; Assumptions'!B16,0.22*A10*(1+0.0002*A10)^-0.5,0.16*A10*(1+0.0001*A10)^-0.5,0.11*A10*(1+0.0002*A10)^-0.5,0.08*A10*(1+0.0002*A10)^-0.5,0.06*A10*(1+0.0002*A10)^-0.5,0.04*A10*(1+0.0002*A10)^-0.5)</f>
        <v>10.891622972743416</v>
      </c>
      <c r="C10" s="31">
        <f>'Inputs &amp; Assumptions'!B10/(SQRT(2*PI())*B10*'Inputs &amp; Assumptions'!B15)*EXP(-0.5*('Inputs &amp; Assumptions'!B9/B10)^2)*1000000</f>
        <v>10.841417393205054</v>
      </c>
      <c r="D10" s="32">
        <f>'Inputs &amp; Assumptions'!B11/(SQRT(2*PI())*B10*'Inputs &amp; Assumptions'!B15)*EXP(-0.5*('Inputs &amp; Assumptions'!B9/B10)^2)*1000000</f>
        <v>7.9955453274887276</v>
      </c>
      <c r="E10" s="33">
        <f>C10*(1-MIN(0.7,'Inputs &amp; Assumptions'!B21*0.12)*(1-EXP(-A10/'Inputs &amp; Assumptions'!B23)))</f>
        <v>10.242249341944589</v>
      </c>
      <c r="F10" s="34">
        <f>D10*(1-MIN(0.7,'Inputs &amp; Assumptions'!B21*0.12)*(1-EXP(-A10/'Inputs &amp; Assumptions'!B23)))</f>
        <v>7.5536588896841348</v>
      </c>
      <c r="G10" s="35">
        <f t="shared" si="0"/>
        <v>0.26250000000000001</v>
      </c>
      <c r="H10" s="36">
        <f t="shared" si="1"/>
        <v>0.30325910204154194</v>
      </c>
    </row>
    <row r="11" spans="1:8" ht="21.75" customHeight="1">
      <c r="A11" s="37">
        <v>150</v>
      </c>
      <c r="B11" s="38">
        <f>CHOOSE('Inputs &amp; Assumptions'!B16,0.22*A11*(1+0.0002*A11)^-0.5,0.16*A11*(1+0.0001*A11)^-0.5,0.11*A11*(1+0.0002*A11)^-0.5,0.08*A11*(1+0.0002*A11)^-0.5,0.06*A11*(1+0.0002*A11)^-0.5,0.04*A11*(1+0.0002*A11)^-0.5)</f>
        <v>16.257933089710836</v>
      </c>
      <c r="C11" s="39">
        <f>'Inputs &amp; Assumptions'!B10/(SQRT(2*PI())*B11*'Inputs &amp; Assumptions'!B15)*EXP(-0.5*('Inputs &amp; Assumptions'!B9/B11)^2)*1000000</f>
        <v>7.2671742582471461</v>
      </c>
      <c r="D11" s="40">
        <f>'Inputs &amp; Assumptions'!B11/(SQRT(2*PI())*B11*'Inputs &amp; Assumptions'!B15)*EXP(-0.5*('Inputs &amp; Assumptions'!B9/B11)^2)*1000000</f>
        <v>5.3595410154572702</v>
      </c>
      <c r="E11" s="41">
        <f>C11*(1-MIN(0.7,'Inputs &amp; Assumptions'!B21*0.12)*(1-EXP(-A11/'Inputs &amp; Assumptions'!B23)))</f>
        <v>6.6884766863722973</v>
      </c>
      <c r="F11" s="42">
        <f>D11*(1-MIN(0.7,'Inputs &amp; Assumptions'!B21*0.12)*(1-EXP(-A11/'Inputs &amp; Assumptions'!B23)))</f>
        <v>4.9327515561995696</v>
      </c>
      <c r="G11" s="43">
        <f t="shared" si="0"/>
        <v>0.26250000000000001</v>
      </c>
      <c r="H11" s="44">
        <f t="shared" si="1"/>
        <v>0.32122839209454196</v>
      </c>
    </row>
    <row r="12" spans="1:8" ht="21.75" customHeight="1">
      <c r="A12" s="30">
        <v>200</v>
      </c>
      <c r="B12" s="24">
        <f>CHOOSE('Inputs &amp; Assumptions'!B16,0.22*A12*(1+0.0002*A12)^-0.5,0.16*A12*(1+0.0001*A12)^-0.5,0.11*A12*(1+0.0002*A12)^-0.5,0.08*A12*(1+0.0002*A12)^-0.5,0.06*A12*(1+0.0002*A12)^-0.5,0.04*A12*(1+0.0002*A12)^-0.5)</f>
        <v>21.572774865200241</v>
      </c>
      <c r="C12" s="31">
        <f>'Inputs &amp; Assumptions'!B10/(SQRT(2*PI())*B12*'Inputs &amp; Assumptions'!B15)*EXP(-0.5*('Inputs &amp; Assumptions'!B9/B12)^2)*1000000</f>
        <v>5.4778940498712263</v>
      </c>
      <c r="D12" s="32">
        <f>'Inputs &amp; Assumptions'!B11/(SQRT(2*PI())*B12*'Inputs &amp; Assumptions'!B15)*EXP(-0.5*('Inputs &amp; Assumptions'!B9/B12)^2)*1000000</f>
        <v>4.0399468617800292</v>
      </c>
      <c r="E12" s="33">
        <f>C12*(1-MIN(0.7,'Inputs &amp; Assumptions'!B21*0.12)*(1-EXP(-A12/'Inputs &amp; Assumptions'!B23)))</f>
        <v>4.9188819289034775</v>
      </c>
      <c r="F12" s="34">
        <f>D12*(1-MIN(0.7,'Inputs &amp; Assumptions'!B21*0.12)*(1-EXP(-A12/'Inputs &amp; Assumptions'!B23)))</f>
        <v>3.6276754225663144</v>
      </c>
      <c r="G12" s="35">
        <f t="shared" si="0"/>
        <v>0.26250000000000007</v>
      </c>
      <c r="H12" s="36">
        <f t="shared" si="1"/>
        <v>0.33776093704265908</v>
      </c>
    </row>
    <row r="13" spans="1:8" ht="21.75" customHeight="1">
      <c r="A13" s="37">
        <v>300</v>
      </c>
      <c r="B13" s="38">
        <f>CHOOSE('Inputs &amp; Assumptions'!B16,0.22*A13*(1+0.0002*A13)^-0.5,0.16*A13*(1+0.0001*A13)^-0.5,0.11*A13*(1+0.0002*A13)^-0.5,0.08*A13*(1+0.0002*A13)^-0.5,0.06*A13*(1+0.0002*A13)^-0.5,0.04*A13*(1+0.0002*A13)^-0.5)</f>
        <v>32.052433457789718</v>
      </c>
      <c r="C13" s="39">
        <f>'Inputs &amp; Assumptions'!B10/(SQRT(2*PI())*B13*'Inputs &amp; Assumptions'!B15)*EXP(-0.5*('Inputs &amp; Assumptions'!B9/B13)^2)*1000000</f>
        <v>3.687418585045394</v>
      </c>
      <c r="D13" s="40">
        <f>'Inputs &amp; Assumptions'!B11/(SQRT(2*PI())*B13*'Inputs &amp; Assumptions'!B15)*EXP(-0.5*('Inputs &amp; Assumptions'!B9/B13)^2)*1000000</f>
        <v>2.7194712064709772</v>
      </c>
      <c r="E13" s="41">
        <f>C13*(1-MIN(0.7,'Inputs &amp; Assumptions'!B21*0.12)*(1-EXP(-A13/'Inputs &amp; Assumptions'!B23)))</f>
        <v>3.1650995681577672</v>
      </c>
      <c r="F13" s="42">
        <f>D13*(1-MIN(0.7,'Inputs &amp; Assumptions'!B21*0.12)*(1-EXP(-A13/'Inputs &amp; Assumptions'!B23)))</f>
        <v>2.3342609315163525</v>
      </c>
      <c r="G13" s="43">
        <f t="shared" si="0"/>
        <v>0.26250000000000023</v>
      </c>
      <c r="H13" s="44">
        <f t="shared" si="1"/>
        <v>0.36696610984629602</v>
      </c>
    </row>
    <row r="14" spans="1:8" ht="21.75" customHeight="1">
      <c r="A14" s="30">
        <v>400</v>
      </c>
      <c r="B14" s="24">
        <f>CHOOSE('Inputs &amp; Assumptions'!B16,0.22*A14*(1+0.0002*A14)^-0.5,0.16*A14*(1+0.0001*A14)^-0.5,0.11*A14*(1+0.0002*A14)^-0.5,0.08*A14*(1+0.0002*A14)^-0.5,0.06*A14*(1+0.0002*A14)^-0.5,0.04*A14*(1+0.0002*A14)^-0.5)</f>
        <v>42.339019740572553</v>
      </c>
      <c r="C14" s="31">
        <f>'Inputs &amp; Assumptions'!B10/(SQRT(2*PI())*B14*'Inputs &amp; Assumptions'!B15)*EXP(-0.5*('Inputs &amp; Assumptions'!B9/B14)^2)*1000000</f>
        <v>2.7916772405563286</v>
      </c>
      <c r="D14" s="32">
        <f>'Inputs &amp; Assumptions'!B11/(SQRT(2*PI())*B14*'Inputs &amp; Assumptions'!B15)*EXP(-0.5*('Inputs &amp; Assumptions'!B9/B14)^2)*1000000</f>
        <v>2.0588619649102924</v>
      </c>
      <c r="E14" s="33">
        <f>C14*(1-MIN(0.7,'Inputs &amp; Assumptions'!B21*0.12)*(1-EXP(-A14/'Inputs &amp; Assumptions'!B23)))</f>
        <v>2.3026595929575535</v>
      </c>
      <c r="F14" s="34">
        <f>D14*(1-MIN(0.7,'Inputs &amp; Assumptions'!B21*0.12)*(1-EXP(-A14/'Inputs &amp; Assumptions'!B23)))</f>
        <v>1.6982114498061958</v>
      </c>
      <c r="G14" s="35">
        <f t="shared" si="0"/>
        <v>0.26250000000000001</v>
      </c>
      <c r="H14" s="36">
        <f t="shared" si="1"/>
        <v>0.39168775489684682</v>
      </c>
    </row>
    <row r="15" spans="1:8" ht="21.75" customHeight="1">
      <c r="A15" s="37">
        <v>500</v>
      </c>
      <c r="B15" s="38">
        <f>CHOOSE('Inputs &amp; Assumptions'!B16,0.22*A15*(1+0.0002*A15)^-0.5,0.16*A15*(1+0.0001*A15)^-0.5,0.11*A15*(1+0.0002*A15)^-0.5,0.08*A15*(1+0.0002*A15)^-0.5,0.06*A15*(1+0.0002*A15)^-0.5,0.04*A15*(1+0.0002*A15)^-0.5)</f>
        <v>52.440442408507572</v>
      </c>
      <c r="C15" s="39">
        <f>'Inputs &amp; Assumptions'!B10/(SQRT(2*PI())*B15*'Inputs &amp; Assumptions'!B15)*EXP(-0.5*('Inputs &amp; Assumptions'!B9/B15)^2)*1000000</f>
        <v>2.2539807418152638</v>
      </c>
      <c r="D15" s="40">
        <f>'Inputs &amp; Assumptions'!B11/(SQRT(2*PI())*B15*'Inputs &amp; Assumptions'!B15)*EXP(-0.5*('Inputs &amp; Assumptions'!B9/B15)^2)*1000000</f>
        <v>1.6623107970887565</v>
      </c>
      <c r="E15" s="41">
        <f>C15*(1-MIN(0.7,'Inputs &amp; Assumptions'!B21*0.12)*(1-EXP(-A15/'Inputs &amp; Assumptions'!B23)))</f>
        <v>1.7951950320266217</v>
      </c>
      <c r="F15" s="42">
        <f>D15*(1-MIN(0.7,'Inputs &amp; Assumptions'!B21*0.12)*(1-EXP(-A15/'Inputs &amp; Assumptions'!B23)))</f>
        <v>1.3239563361196329</v>
      </c>
      <c r="G15" s="43">
        <f t="shared" si="0"/>
        <v>0.26250000000000023</v>
      </c>
      <c r="H15" s="44">
        <f t="shared" si="1"/>
        <v>0.41261417564137093</v>
      </c>
    </row>
    <row r="16" spans="1:8" ht="19.5" customHeight="1">
      <c r="A16" s="136" t="s">
        <v>83</v>
      </c>
      <c r="B16" s="136"/>
      <c r="C16" s="136"/>
      <c r="D16" s="136"/>
      <c r="E16" s="136"/>
      <c r="F16" s="136"/>
      <c r="G16" s="136"/>
      <c r="H16" s="136"/>
    </row>
  </sheetData>
  <mergeCells count="3">
    <mergeCell ref="A1:H1"/>
    <mergeCell ref="A2:H2"/>
    <mergeCell ref="A16:H16"/>
  </mergeCells>
  <pageMargins left="0.75" right="0.75" top="1" bottom="1" header="0.511811023622047" footer="0.511811023622047"/>
  <pageSetup paperSize="9" orientation="portrait" horizontalDpi="300" verticalDpi="30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H15"/>
  <sheetViews>
    <sheetView showGridLines="0" zoomScaleNormal="100" workbookViewId="0">
      <pane xSplit="1" ySplit="2" topLeftCell="B3" activePane="bottomRight" state="frozen"/>
      <selection pane="bottomRight" activeCell="C20" sqref="C20"/>
      <selection pane="bottomLeft" activeCell="A3" sqref="A3"/>
      <selection pane="topRight" activeCell="B1" sqref="B1"/>
    </sheetView>
  </sheetViews>
  <sheetFormatPr defaultColWidth="8.7109375" defaultRowHeight="15"/>
  <cols>
    <col min="1" max="1" width="2" customWidth="1"/>
    <col min="2" max="2" width="28" customWidth="1"/>
    <col min="3" max="4" width="15" customWidth="1"/>
    <col min="5" max="5" width="18.28515625" bestFit="1" customWidth="1"/>
    <col min="6" max="6" width="16.140625" customWidth="1"/>
    <col min="7" max="7" width="24" customWidth="1"/>
    <col min="9" max="9" width="2" customWidth="1"/>
  </cols>
  <sheetData>
    <row r="1" spans="2:8" ht="31.5" customHeight="1">
      <c r="B1" s="130" t="s">
        <v>84</v>
      </c>
      <c r="C1" s="130"/>
      <c r="D1" s="130"/>
      <c r="E1" s="130"/>
      <c r="F1" s="130"/>
      <c r="G1" s="130"/>
      <c r="H1" s="130"/>
    </row>
    <row r="2" spans="2:8" ht="24" customHeight="1">
      <c r="B2" s="4" t="s">
        <v>85</v>
      </c>
      <c r="C2" s="45">
        <v>100</v>
      </c>
      <c r="D2" s="6" t="s">
        <v>86</v>
      </c>
    </row>
    <row r="4" spans="2:8" ht="18" customHeight="1">
      <c r="B4" s="1" t="s">
        <v>87</v>
      </c>
      <c r="C4" s="2"/>
      <c r="D4" s="2"/>
      <c r="E4" s="2"/>
      <c r="F4" s="2"/>
      <c r="G4" s="2"/>
    </row>
    <row r="5" spans="2:8" ht="27.75" customHeight="1">
      <c r="B5" s="3" t="s">
        <v>88</v>
      </c>
      <c r="C5" s="3" t="s">
        <v>89</v>
      </c>
      <c r="D5" s="3" t="s">
        <v>90</v>
      </c>
      <c r="E5" s="3" t="s">
        <v>91</v>
      </c>
      <c r="F5" s="3" t="s">
        <v>92</v>
      </c>
      <c r="G5" s="3" t="s">
        <v>93</v>
      </c>
    </row>
    <row r="6" spans="2:8" ht="24" customHeight="1">
      <c r="B6" s="46" t="s">
        <v>94</v>
      </c>
      <c r="C6" s="47">
        <f>IFERROR(INDEX('Dispersion Model'!C4:C15,MATCH(C2,'Dispersion Model'!A4:A15,0)),"—")</f>
        <v>10.841417393205054</v>
      </c>
      <c r="D6" s="48" t="s">
        <v>33</v>
      </c>
      <c r="E6" s="23">
        <v>15</v>
      </c>
      <c r="F6" s="49">
        <f>IFERROR((C6-15)/15,0)</f>
        <v>-0.2772388404529964</v>
      </c>
      <c r="G6" s="50" t="str">
        <f>IF(C6&gt;15,"Exceeds WHO 24-hr",IF(C6&gt;5,"Exceeds WHO annual","Within WHO annual"))</f>
        <v>Exceeds WHO annual</v>
      </c>
    </row>
    <row r="7" spans="2:8" ht="24" customHeight="1">
      <c r="B7" s="51" t="s">
        <v>95</v>
      </c>
      <c r="C7" s="52">
        <f>IFERROR(INDEX('Dispersion Model'!D4:D15,MATCH(C2,'Dispersion Model'!A4:A15,0)),"—")</f>
        <v>7.9955453274887276</v>
      </c>
      <c r="D7" s="53">
        <f>IFERROR((C6-C7)/C6,0)</f>
        <v>0.26250000000000001</v>
      </c>
      <c r="E7" s="54">
        <v>15</v>
      </c>
      <c r="F7" s="55">
        <f>IFERROR((C7-15)/15,0)</f>
        <v>-0.46696364483408481</v>
      </c>
      <c r="G7" s="56" t="str">
        <f>IF(C7&gt;15,"Exceeds WHO 24-hr",IF(C7&gt;5,"Exceeds WHO annual","Within WHO annual"))</f>
        <v>Exceeds WHO annual</v>
      </c>
    </row>
    <row r="8" spans="2:8" ht="24" customHeight="1">
      <c r="B8" s="57" t="s">
        <v>96</v>
      </c>
      <c r="C8" s="58">
        <f>IFERROR(INDEX('Dispersion Model'!E4:E15,MATCH(C2,'Dispersion Model'!A4:A15,0)),"—")</f>
        <v>10.242249341944589</v>
      </c>
      <c r="D8" s="59">
        <f>IFERROR((C6-C8)/C6,0)</f>
        <v>5.5266579039378955E-2</v>
      </c>
      <c r="E8" s="60">
        <v>15</v>
      </c>
      <c r="F8" s="61">
        <f>IFERROR((C8-15)/15,0)</f>
        <v>-0.31718337720369405</v>
      </c>
      <c r="G8" s="62" t="str">
        <f>IF(C8&gt;15,"Exceeds WHO 24-hr",IF(C8&gt;5,"Exceeds WHO annual","Within WHO annual"))</f>
        <v>Exceeds WHO annual</v>
      </c>
    </row>
    <row r="9" spans="2:8" ht="24" customHeight="1">
      <c r="B9" s="63" t="s">
        <v>97</v>
      </c>
      <c r="C9" s="64">
        <f>IFERROR(INDEX('Dispersion Model'!F4:F15,MATCH(C2,'Dispersion Model'!A4:A15,0)),"—")</f>
        <v>7.5536588896841348</v>
      </c>
      <c r="D9" s="65">
        <f>IFERROR((C6-C9)/C6,0)</f>
        <v>0.30325910204154194</v>
      </c>
      <c r="E9" s="66">
        <v>15</v>
      </c>
      <c r="F9" s="67">
        <f>IFERROR((C9-15)/15,0)</f>
        <v>-0.49642274068772435</v>
      </c>
      <c r="G9" s="68" t="str">
        <f>IF(C9&gt;15,"Exceeds WHO 24-hr",IF(C9&gt;5,"Exceeds WHO annual","Within WHO annual"))</f>
        <v>Exceeds WHO annual</v>
      </c>
    </row>
    <row r="11" spans="2:8" ht="18" customHeight="1">
      <c r="B11" s="9" t="s">
        <v>98</v>
      </c>
      <c r="C11" s="10"/>
      <c r="D11" s="10"/>
      <c r="E11" s="10"/>
      <c r="F11" s="10"/>
      <c r="G11" s="10"/>
    </row>
    <row r="12" spans="2:8" ht="36" customHeight="1">
      <c r="B12" s="11" t="s">
        <v>99</v>
      </c>
      <c r="C12" s="11" t="s">
        <v>100</v>
      </c>
      <c r="D12" s="11" t="s">
        <v>101</v>
      </c>
      <c r="E12" s="11" t="s">
        <v>102</v>
      </c>
      <c r="F12" s="11" t="s">
        <v>103</v>
      </c>
      <c r="G12" s="11" t="s">
        <v>104</v>
      </c>
    </row>
    <row r="13" spans="2:8" ht="25.5" customHeight="1">
      <c r="B13" s="46" t="s">
        <v>95</v>
      </c>
      <c r="C13" s="69">
        <f>C6-C7</f>
        <v>2.8458720657163266</v>
      </c>
      <c r="D13" s="70">
        <f>IFERROR((C6-C7)/C6,0)</f>
        <v>0.26250000000000001</v>
      </c>
      <c r="E13" s="117" t="s">
        <v>105</v>
      </c>
      <c r="F13" s="117" t="s">
        <v>106</v>
      </c>
      <c r="G13" s="71" t="s">
        <v>107</v>
      </c>
    </row>
    <row r="14" spans="2:8" ht="25.5" customHeight="1">
      <c r="B14" s="72" t="s">
        <v>96</v>
      </c>
      <c r="C14" s="73">
        <f>C6-C8</f>
        <v>0.59916805126046491</v>
      </c>
      <c r="D14" s="74">
        <f>IFERROR((C6-C8)/C6,0)</f>
        <v>5.5266579039378955E-2</v>
      </c>
      <c r="E14" s="118" t="s">
        <v>108</v>
      </c>
      <c r="F14" s="118" t="s">
        <v>109</v>
      </c>
      <c r="G14" s="75" t="s">
        <v>110</v>
      </c>
    </row>
    <row r="15" spans="2:8" ht="25.5" customHeight="1">
      <c r="B15" s="46" t="s">
        <v>97</v>
      </c>
      <c r="C15" s="69">
        <f>C6-C9</f>
        <v>3.2877585035209194</v>
      </c>
      <c r="D15" s="70">
        <f>IFERROR((C6-C9)/C6,0)</f>
        <v>0.30325910204154194</v>
      </c>
      <c r="E15" s="117" t="s">
        <v>111</v>
      </c>
      <c r="F15" s="117" t="s">
        <v>112</v>
      </c>
      <c r="G15" s="71" t="s">
        <v>113</v>
      </c>
    </row>
  </sheetData>
  <mergeCells count="1">
    <mergeCell ref="B1:H1"/>
  </mergeCells>
  <conditionalFormatting sqref="G6">
    <cfRule type="expression" dxfId="3" priority="4">
      <formula>$C$6&gt;5</formula>
    </cfRule>
  </conditionalFormatting>
  <conditionalFormatting sqref="G7">
    <cfRule type="expression" dxfId="2" priority="3">
      <formula>$C$7&gt;5</formula>
    </cfRule>
  </conditionalFormatting>
  <conditionalFormatting sqref="G8">
    <cfRule type="expression" dxfId="1" priority="2">
      <formula>$C$8&gt;5</formula>
    </cfRule>
  </conditionalFormatting>
  <conditionalFormatting sqref="G9">
    <cfRule type="expression" dxfId="0" priority="1">
      <formula>$C$9&gt;5</formula>
    </cfRule>
  </conditionalFormatting>
  <pageMargins left="0.75" right="0.75" top="1" bottom="1"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G19"/>
  <sheetViews>
    <sheetView showGridLines="0" zoomScale="50" zoomScaleNormal="100" workbookViewId="0">
      <selection activeCell="D16" sqref="D16:E16"/>
    </sheetView>
  </sheetViews>
  <sheetFormatPr defaultColWidth="8.7109375" defaultRowHeight="15"/>
  <cols>
    <col min="1" max="1" width="22" customWidth="1"/>
    <col min="2" max="2" width="21" customWidth="1"/>
    <col min="3" max="3" width="20.85546875" customWidth="1"/>
    <col min="4" max="4" width="20.140625" customWidth="1"/>
    <col min="5" max="5" width="19.140625" customWidth="1"/>
    <col min="6" max="6" width="21.85546875" customWidth="1"/>
    <col min="8" max="8" width="2" customWidth="1"/>
  </cols>
  <sheetData>
    <row r="1" spans="1:7" ht="30" customHeight="1">
      <c r="A1" s="134" t="s">
        <v>114</v>
      </c>
      <c r="B1" s="134"/>
      <c r="C1" s="134"/>
      <c r="D1" s="134"/>
      <c r="E1" s="134"/>
      <c r="F1" s="134"/>
      <c r="G1" s="134"/>
    </row>
    <row r="2" spans="1:7" ht="15" customHeight="1">
      <c r="A2" s="135" t="s">
        <v>115</v>
      </c>
      <c r="B2" s="135"/>
      <c r="C2" s="135"/>
      <c r="D2" s="135"/>
      <c r="E2" s="135"/>
      <c r="F2" s="135"/>
      <c r="G2" s="135"/>
    </row>
    <row r="3" spans="1:7" ht="18" customHeight="1">
      <c r="A3" s="16" t="s">
        <v>116</v>
      </c>
      <c r="B3" s="17"/>
      <c r="C3" s="17"/>
      <c r="D3" s="17"/>
      <c r="E3" s="17"/>
      <c r="F3" s="156"/>
      <c r="G3" s="157"/>
    </row>
    <row r="4" spans="1:7" ht="36" customHeight="1">
      <c r="A4" s="18" t="s">
        <v>45</v>
      </c>
      <c r="B4" s="18" t="s">
        <v>117</v>
      </c>
      <c r="C4" s="18" t="s">
        <v>118</v>
      </c>
      <c r="D4" s="18" t="s">
        <v>119</v>
      </c>
      <c r="E4" s="18" t="s">
        <v>120</v>
      </c>
      <c r="F4" s="158" t="s">
        <v>121</v>
      </c>
      <c r="G4" s="159"/>
    </row>
    <row r="5" spans="1:7" ht="25.5" customHeight="1">
      <c r="A5" s="76" t="s">
        <v>48</v>
      </c>
      <c r="B5" s="121">
        <f>'Inputs &amp; Assumptions'!B27</f>
        <v>4</v>
      </c>
      <c r="C5" s="119">
        <v>3</v>
      </c>
      <c r="D5" s="119">
        <v>3</v>
      </c>
      <c r="E5" s="119">
        <v>5</v>
      </c>
      <c r="F5" s="160" t="str">
        <f>CHOOSE(MATCH(MAX(C5:E5),C5:E5,0),"EV only","Barrier only","Combined")</f>
        <v>Combined</v>
      </c>
      <c r="G5" s="160"/>
    </row>
    <row r="6" spans="1:7" ht="25.5" customHeight="1">
      <c r="A6" s="77" t="s">
        <v>50</v>
      </c>
      <c r="B6" s="122">
        <f>'Inputs &amp; Assumptions'!B28</f>
        <v>3</v>
      </c>
      <c r="C6" s="120">
        <v>3</v>
      </c>
      <c r="D6" s="120">
        <v>4</v>
      </c>
      <c r="E6" s="120">
        <v>2</v>
      </c>
      <c r="F6" s="161" t="str">
        <f>CHOOSE(MATCH(MAX(C6:E6),C6:E6,0),"EV only","Barrier only","Combined")</f>
        <v>Barrier only</v>
      </c>
      <c r="G6" s="161"/>
    </row>
    <row r="7" spans="1:7" ht="25.5" customHeight="1">
      <c r="A7" s="76" t="s">
        <v>52</v>
      </c>
      <c r="B7" s="121">
        <f>'Inputs &amp; Assumptions'!B29</f>
        <v>4</v>
      </c>
      <c r="C7" s="119">
        <v>3</v>
      </c>
      <c r="D7" s="119">
        <v>2</v>
      </c>
      <c r="E7" s="119">
        <v>5</v>
      </c>
      <c r="F7" s="160" t="str">
        <f>CHOOSE(MATCH(MAX(C7:E7),C7:E7,0),"EV only","Barrier only","Combined")</f>
        <v>Combined</v>
      </c>
      <c r="G7" s="160"/>
    </row>
    <row r="8" spans="1:7" ht="25.5" customHeight="1">
      <c r="A8" s="77" t="s">
        <v>54</v>
      </c>
      <c r="B8" s="122">
        <f>'Inputs &amp; Assumptions'!B30</f>
        <v>3</v>
      </c>
      <c r="C8" s="120">
        <v>4</v>
      </c>
      <c r="D8" s="120">
        <v>3</v>
      </c>
      <c r="E8" s="120">
        <v>4</v>
      </c>
      <c r="F8" s="161" t="str">
        <f>CHOOSE(MATCH(MAX(C8:E8),C8:E8,0),"EV only","Barrier only","Combined")</f>
        <v>EV only</v>
      </c>
      <c r="G8" s="161"/>
    </row>
    <row r="10" spans="1:7" ht="18" customHeight="1">
      <c r="A10" s="12" t="s">
        <v>122</v>
      </c>
      <c r="B10" s="13"/>
      <c r="C10" s="13"/>
      <c r="D10" s="13"/>
      <c r="E10" s="13"/>
      <c r="F10" s="152"/>
      <c r="G10" s="153"/>
    </row>
    <row r="11" spans="1:7" ht="27.75" customHeight="1">
      <c r="A11" s="14"/>
      <c r="B11" s="14"/>
      <c r="C11" s="14" t="s">
        <v>95</v>
      </c>
      <c r="D11" s="14" t="s">
        <v>96</v>
      </c>
      <c r="E11" s="14" t="s">
        <v>97</v>
      </c>
      <c r="F11" s="154" t="s">
        <v>123</v>
      </c>
      <c r="G11" s="154"/>
    </row>
    <row r="12" spans="1:7" ht="31.5" customHeight="1">
      <c r="A12" s="78" t="s">
        <v>124</v>
      </c>
      <c r="C12" s="79">
        <f>(C5*'Inputs &amp; Assumptions'!B27+C6*'Inputs &amp; Assumptions'!B28+C7*'Inputs &amp; Assumptions'!B29+C8*'Inputs &amp; Assumptions'!B30)/(('Inputs &amp; Assumptions'!B27+'Inputs &amp; Assumptions'!B28+'Inputs &amp; Assumptions'!B29+'Inputs &amp; Assumptions'!B30)*5)*100</f>
        <v>64.285714285714292</v>
      </c>
      <c r="D12" s="80">
        <f>(D5*'Inputs &amp; Assumptions'!B27+D6*'Inputs &amp; Assumptions'!B28+D7*'Inputs &amp; Assumptions'!B29+D8*'Inputs &amp; Assumptions'!B30)/(('Inputs &amp; Assumptions'!B27+'Inputs &amp; Assumptions'!B28+'Inputs &amp; Assumptions'!B29+'Inputs &amp; Assumptions'!B30)*5)*100</f>
        <v>58.571428571428577</v>
      </c>
      <c r="E12" s="81">
        <f>(E5*'Inputs &amp; Assumptions'!B27+E6*'Inputs &amp; Assumptions'!B28+E7*'Inputs &amp; Assumptions'!B29+E8*'Inputs &amp; Assumptions'!B30)/(('Inputs &amp; Assumptions'!B27+'Inputs &amp; Assumptions'!B28+'Inputs &amp; Assumptions'!B29+'Inputs &amp; Assumptions'!B30)*5)*100</f>
        <v>82.857142857142861</v>
      </c>
      <c r="F12" s="155" t="str">
        <f>CHOOSE(MATCH(MAX(C12:E12),C12:E12,0),"EV only","Barrier only","Combined")</f>
        <v>Combined</v>
      </c>
      <c r="G12" s="155"/>
    </row>
    <row r="14" spans="1:7" ht="18" customHeight="1">
      <c r="A14" s="20" t="s">
        <v>125</v>
      </c>
      <c r="B14" s="21"/>
      <c r="C14" s="21"/>
      <c r="D14" s="21"/>
      <c r="E14" s="21"/>
      <c r="F14" s="150"/>
      <c r="G14" s="151"/>
    </row>
    <row r="15" spans="1:7" ht="27.75" customHeight="1">
      <c r="A15" s="22" t="s">
        <v>45</v>
      </c>
      <c r="B15" s="145" t="s">
        <v>95</v>
      </c>
      <c r="C15" s="146"/>
      <c r="D15" s="147" t="s">
        <v>96</v>
      </c>
      <c r="E15" s="148"/>
      <c r="F15" s="149" t="s">
        <v>97</v>
      </c>
      <c r="G15" s="149"/>
    </row>
    <row r="16" spans="1:7" ht="60" customHeight="1">
      <c r="A16" s="123" t="s">
        <v>48</v>
      </c>
      <c r="B16" s="143" t="s">
        <v>126</v>
      </c>
      <c r="C16" s="144"/>
      <c r="D16" s="138" t="s">
        <v>127</v>
      </c>
      <c r="E16" s="138"/>
      <c r="F16" s="139" t="s">
        <v>128</v>
      </c>
      <c r="G16" s="139"/>
    </row>
    <row r="17" spans="1:7" ht="60" customHeight="1">
      <c r="A17" s="124" t="s">
        <v>50</v>
      </c>
      <c r="B17" s="140" t="s">
        <v>129</v>
      </c>
      <c r="C17" s="140"/>
      <c r="D17" s="141" t="s">
        <v>130</v>
      </c>
      <c r="E17" s="141"/>
      <c r="F17" s="142" t="s">
        <v>131</v>
      </c>
      <c r="G17" s="142"/>
    </row>
    <row r="18" spans="1:7" ht="60" customHeight="1">
      <c r="A18" s="123" t="s">
        <v>132</v>
      </c>
      <c r="B18" s="137" t="s">
        <v>133</v>
      </c>
      <c r="C18" s="137"/>
      <c r="D18" s="138" t="s">
        <v>134</v>
      </c>
      <c r="E18" s="138"/>
      <c r="F18" s="139" t="s">
        <v>135</v>
      </c>
      <c r="G18" s="139"/>
    </row>
    <row r="19" spans="1:7" ht="60" customHeight="1">
      <c r="A19" s="124" t="s">
        <v>54</v>
      </c>
      <c r="B19" s="140" t="s">
        <v>136</v>
      </c>
      <c r="C19" s="140"/>
      <c r="D19" s="141" t="s">
        <v>137</v>
      </c>
      <c r="E19" s="141"/>
      <c r="F19" s="142" t="s">
        <v>138</v>
      </c>
      <c r="G19" s="142"/>
    </row>
  </sheetData>
  <mergeCells count="27">
    <mergeCell ref="A1:G1"/>
    <mergeCell ref="A2:G2"/>
    <mergeCell ref="B15:C15"/>
    <mergeCell ref="D15:E15"/>
    <mergeCell ref="F15:G15"/>
    <mergeCell ref="F14:G14"/>
    <mergeCell ref="F10:G10"/>
    <mergeCell ref="F11:G11"/>
    <mergeCell ref="F12:G12"/>
    <mergeCell ref="F3:G3"/>
    <mergeCell ref="F4:G4"/>
    <mergeCell ref="F5:G5"/>
    <mergeCell ref="F6:G6"/>
    <mergeCell ref="F7:G7"/>
    <mergeCell ref="F8:G8"/>
    <mergeCell ref="B16:C16"/>
    <mergeCell ref="D16:E16"/>
    <mergeCell ref="F16:G16"/>
    <mergeCell ref="B17:C17"/>
    <mergeCell ref="D17:E17"/>
    <mergeCell ref="F17:G17"/>
    <mergeCell ref="B18:C18"/>
    <mergeCell ref="D18:E18"/>
    <mergeCell ref="F18:G18"/>
    <mergeCell ref="B19:C19"/>
    <mergeCell ref="D19:E19"/>
    <mergeCell ref="F19:G19"/>
  </mergeCells>
  <conditionalFormatting sqref="C5:E8">
    <cfRule type="colorScale" priority="2">
      <colorScale>
        <cfvo type="min"/>
        <cfvo type="percentile" val="50"/>
        <cfvo type="max"/>
        <color rgb="FFF09595"/>
        <color rgb="FFFAEEDA"/>
        <color rgb="FF5DCAA5"/>
      </colorScale>
    </cfRule>
  </conditionalFormatting>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1:C38"/>
  <sheetViews>
    <sheetView showGridLines="0" zoomScale="88" zoomScaleNormal="60" workbookViewId="0">
      <selection activeCell="B7" sqref="B7:C34"/>
    </sheetView>
  </sheetViews>
  <sheetFormatPr defaultColWidth="8.7109375" defaultRowHeight="15"/>
  <cols>
    <col min="1" max="1" width="2" customWidth="1"/>
    <col min="2" max="2" width="26" customWidth="1"/>
    <col min="3" max="3" width="74" customWidth="1"/>
    <col min="4" max="4" width="2" customWidth="1"/>
  </cols>
  <sheetData>
    <row r="1" spans="2:3" ht="31.5" customHeight="1">
      <c r="B1" s="134" t="s">
        <v>139</v>
      </c>
      <c r="C1" s="134"/>
    </row>
    <row r="2" spans="2:3" ht="19.5" customHeight="1">
      <c r="B2" s="19" t="s">
        <v>85</v>
      </c>
      <c r="C2" s="82">
        <v>100</v>
      </c>
    </row>
    <row r="3" spans="2:3" ht="25.5" customHeight="1">
      <c r="B3" s="162" t="s">
        <v>140</v>
      </c>
      <c r="C3" s="162"/>
    </row>
    <row r="4" spans="2:3" ht="25.5" customHeight="1">
      <c r="B4" s="83" t="s">
        <v>141</v>
      </c>
      <c r="C4" s="7" t="s">
        <v>142</v>
      </c>
    </row>
    <row r="5" spans="2:3" ht="25.5" customHeight="1">
      <c r="B5" s="163" t="s">
        <v>143</v>
      </c>
      <c r="C5" s="163"/>
    </row>
    <row r="6" spans="2:3" ht="25.5" customHeight="1">
      <c r="B6" s="164"/>
      <c r="C6" s="164"/>
    </row>
    <row r="7" spans="2:3" ht="25.5" customHeight="1">
      <c r="B7" s="165" t="s">
        <v>144</v>
      </c>
      <c r="C7" s="165"/>
    </row>
    <row r="8" spans="2:3" ht="25.5" customHeight="1">
      <c r="B8" s="166"/>
      <c r="C8" s="166"/>
    </row>
    <row r="9" spans="2:3">
      <c r="B9" s="166"/>
      <c r="C9" s="166"/>
    </row>
    <row r="10" spans="2:3" ht="19.5" customHeight="1">
      <c r="B10" s="166"/>
      <c r="C10" s="166"/>
    </row>
    <row r="11" spans="2:3" ht="24" customHeight="1">
      <c r="B11" s="166"/>
      <c r="C11" s="166"/>
    </row>
    <row r="12" spans="2:3" ht="24" customHeight="1">
      <c r="B12" s="166"/>
      <c r="C12" s="166"/>
    </row>
    <row r="13" spans="2:3" ht="30" customHeight="1">
      <c r="B13" s="166"/>
      <c r="C13" s="166"/>
    </row>
    <row r="14" spans="2:3" ht="19.5" customHeight="1">
      <c r="B14" s="166"/>
      <c r="C14" s="166"/>
    </row>
    <row r="15" spans="2:3">
      <c r="B15" s="166"/>
      <c r="C15" s="166"/>
    </row>
    <row r="16" spans="2:3" ht="19.5" customHeight="1">
      <c r="B16" s="166"/>
      <c r="C16" s="166"/>
    </row>
    <row r="17" spans="2:3" ht="51.75" customHeight="1">
      <c r="B17" s="166"/>
      <c r="C17" s="166"/>
    </row>
    <row r="18" spans="2:3" ht="51.75" customHeight="1">
      <c r="B18" s="166"/>
      <c r="C18" s="166"/>
    </row>
    <row r="19" spans="2:3" ht="51.75" customHeight="1">
      <c r="B19" s="166"/>
      <c r="C19" s="166"/>
    </row>
    <row r="20" spans="2:3" ht="51.75" customHeight="1">
      <c r="B20" s="166"/>
      <c r="C20" s="166"/>
    </row>
    <row r="21" spans="2:3">
      <c r="B21" s="166"/>
      <c r="C21" s="166"/>
    </row>
    <row r="22" spans="2:3" ht="19.5" customHeight="1">
      <c r="B22" s="166"/>
      <c r="C22" s="166"/>
    </row>
    <row r="23" spans="2:3" ht="51.75" customHeight="1">
      <c r="B23" s="166"/>
      <c r="C23" s="166"/>
    </row>
    <row r="24" spans="2:3" ht="51.75" customHeight="1">
      <c r="B24" s="166"/>
      <c r="C24" s="166"/>
    </row>
    <row r="25" spans="2:3" ht="51.75" customHeight="1">
      <c r="B25" s="166"/>
      <c r="C25" s="166"/>
    </row>
    <row r="26" spans="2:3" ht="51.75" customHeight="1">
      <c r="B26" s="166"/>
      <c r="C26" s="166"/>
    </row>
    <row r="27" spans="2:3">
      <c r="B27" s="166"/>
      <c r="C27" s="166"/>
    </row>
    <row r="28" spans="2:3" ht="19.5" customHeight="1">
      <c r="B28" s="166"/>
      <c r="C28" s="166"/>
    </row>
    <row r="29" spans="2:3" ht="51.75" customHeight="1">
      <c r="B29" s="166"/>
      <c r="C29" s="166"/>
    </row>
    <row r="30" spans="2:3" ht="51.75" customHeight="1">
      <c r="B30" s="166"/>
      <c r="C30" s="166"/>
    </row>
    <row r="31" spans="2:3" ht="51.75" customHeight="1">
      <c r="B31" s="166"/>
      <c r="C31" s="166"/>
    </row>
    <row r="32" spans="2:3" ht="51.75" customHeight="1">
      <c r="B32" s="166"/>
      <c r="C32" s="166"/>
    </row>
    <row r="33" spans="2:3">
      <c r="B33" s="166"/>
      <c r="C33" s="166"/>
    </row>
    <row r="34" spans="2:3" ht="19.5" customHeight="1">
      <c r="B34" s="166"/>
      <c r="C34" s="166"/>
    </row>
    <row r="35" spans="2:3" ht="51.75" customHeight="1">
      <c r="B35" s="84"/>
      <c r="C35" s="84"/>
    </row>
    <row r="36" spans="2:3" ht="51.75" customHeight="1">
      <c r="B36" s="84"/>
      <c r="C36" s="84"/>
    </row>
    <row r="37" spans="2:3" ht="51.75" customHeight="1">
      <c r="B37" s="84"/>
      <c r="C37" s="84"/>
    </row>
    <row r="38" spans="2:3" ht="51.75" customHeight="1">
      <c r="B38" s="84"/>
      <c r="C38" s="84"/>
    </row>
  </sheetData>
  <mergeCells count="4">
    <mergeCell ref="B1:C1"/>
    <mergeCell ref="B3:C3"/>
    <mergeCell ref="B5:C6"/>
    <mergeCell ref="B7:C34"/>
  </mergeCells>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GenerateAIAnalysis">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Ashley Geraets</cp:lastModifiedBy>
  <cp:revision>4</cp:revision>
  <dcterms:created xsi:type="dcterms:W3CDTF">2026-04-13T18:44:10Z</dcterms:created>
  <dcterms:modified xsi:type="dcterms:W3CDTF">2026-06-18T17:26:59Z</dcterms:modified>
  <cp:category/>
  <cp:contentStatus/>
</cp:coreProperties>
</file>